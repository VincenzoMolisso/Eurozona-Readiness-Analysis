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 defaultThemeVersion="166925"/>
  <xr:revisionPtr revIDLastSave="0" documentId="13_ncr:1_{C1A261EE-272F-4AAF-B1B2-A2ECAEF0E9F7}" xr6:coauthVersionLast="47" xr6:coauthVersionMax="47" xr10:uidLastSave="{00000000-0000-0000-0000-000000000000}"/>
  <bookViews>
    <workbookView xWindow="-110" yWindow="-110" windowWidth="21820" windowHeight="14620" xr2:uid="{00000000-000D-0000-FFFF-FFFF00000000}"/>
  </bookViews>
  <sheets>
    <sheet name="Analisi Comparativa EU" sheetId="2" r:id="rId1"/>
  </sheets>
  <definedNames>
    <definedName name="_xlchart.v1.2" hidden="1">'Analisi Comparativa EU'!$B$7:$B$34</definedName>
    <definedName name="_xlchart.v1.3" hidden="1">'Analisi Comparativa EU'!$D$7:$D$34</definedName>
    <definedName name="_xlchart.v2.0" hidden="1">'Analisi Comparativa EU'!$B$7:$B$34</definedName>
    <definedName name="_xlchart.v2.1" hidden="1">'Analisi Comparativa EU'!$E$7:$E$34</definedName>
    <definedName name="List_SalesAgents">#REF!</definedName>
    <definedName name="List_SalesCategories">#REF!</definedName>
    <definedName name="List_SalesPhases">#REF!</definedName>
    <definedName name="List_SalesRegions">#REF!</definedName>
    <definedName name="NomeSocietà" localSheetId="0">'Analisi Comparativa EU'!$B$2</definedName>
    <definedName name="NomeSocietà">#REF!</definedName>
    <definedName name="Starting_Month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4" i="2" l="1"/>
  <c r="S34" i="2"/>
  <c r="R34" i="2"/>
  <c r="Q34" i="2"/>
  <c r="P34" i="2"/>
  <c r="N34" i="2"/>
  <c r="M34" i="2"/>
  <c r="L34" i="2"/>
  <c r="I34" i="2"/>
  <c r="H34" i="2"/>
  <c r="G34" i="2"/>
  <c r="F34" i="2"/>
  <c r="E34" i="2"/>
  <c r="D34" i="2"/>
</calcChain>
</file>

<file path=xl/sharedStrings.xml><?xml version="1.0" encoding="utf-8"?>
<sst xmlns="http://schemas.openxmlformats.org/spreadsheetml/2006/main" count="236" uniqueCount="126">
  <si>
    <t>Vincenzo Molisso</t>
  </si>
  <si>
    <t>DATASET</t>
  </si>
  <si>
    <t>riferito all'anno 2024</t>
  </si>
  <si>
    <t>Aderenti all'area dell'Euro</t>
  </si>
  <si>
    <t>BELGIO</t>
  </si>
  <si>
    <t>BULGARIA</t>
  </si>
  <si>
    <t>CECHIA</t>
  </si>
  <si>
    <t>CIPRO</t>
  </si>
  <si>
    <t>CROAZIA</t>
  </si>
  <si>
    <t>DANIMARCA</t>
  </si>
  <si>
    <t>ESTONIA</t>
  </si>
  <si>
    <t>FINLANDIA</t>
  </si>
  <si>
    <t>FRANCIA</t>
  </si>
  <si>
    <t>GERMANIA</t>
  </si>
  <si>
    <t>GRECIA</t>
  </si>
  <si>
    <t>IRLANDA</t>
  </si>
  <si>
    <t>ITALIA</t>
  </si>
  <si>
    <t>LETTONIA</t>
  </si>
  <si>
    <t>LITUANIA</t>
  </si>
  <si>
    <t>LUSSEMBURGO</t>
  </si>
  <si>
    <t>MALTA</t>
  </si>
  <si>
    <t>PAESI BASSI</t>
  </si>
  <si>
    <t>POLONIA</t>
  </si>
  <si>
    <t>PORTOGALLO</t>
  </si>
  <si>
    <t>ROMANIA</t>
  </si>
  <si>
    <t>SLOVACCHIA</t>
  </si>
  <si>
    <t>AUSTRIA</t>
  </si>
  <si>
    <t>SLOVENIA</t>
  </si>
  <si>
    <t>SPAGNA</t>
  </si>
  <si>
    <t>SVEZIA</t>
  </si>
  <si>
    <t>UNGHERIA</t>
  </si>
  <si>
    <t>EUROPA</t>
  </si>
  <si>
    <t>SI</t>
  </si>
  <si>
    <t>NO</t>
  </si>
  <si>
    <t>Paese Europei</t>
  </si>
  <si>
    <t>Eurobarometro Standard 102 Opinione pubblica nell’Unione europea</t>
  </si>
  <si>
    <t>Fiducia e immagine dell'UE e delle sue istituzioni [2023vs2024] (%)</t>
  </si>
  <si>
    <t>Limitazioni al pagamento in contanti (€)</t>
  </si>
  <si>
    <t>European Consumer Centre</t>
  </si>
  <si>
    <t>nessun limite</t>
  </si>
  <si>
    <t>https://ec.europa.eu/eurostat/databrowser/view/isoc_e_dii__custom_16185477/default/table?lang=en</t>
  </si>
  <si>
    <t>Circuiti nazionali di carte nell’area dell’euro</t>
  </si>
  <si>
    <t>presente</t>
  </si>
  <si>
    <t>assente</t>
  </si>
  <si>
    <t>https://www.ecb.europa.eu/press/pr/date/2025/html/ecb.pr250228_1~7f0697af45.en.html?utm_source=chatgpt.com</t>
  </si>
  <si>
    <r>
      <rPr>
        <u/>
        <sz val="11"/>
        <color theme="1"/>
        <rFont val="Segoe UI"/>
        <family val="2"/>
      </rPr>
      <t>Very Low</t>
    </r>
    <r>
      <rPr>
        <sz val="11"/>
        <color theme="1"/>
        <rFont val="Segoe UI"/>
        <family val="2"/>
      </rPr>
      <t xml:space="preserve"> Digital intensity index of enterprises with more than ten employees (%)</t>
    </r>
  </si>
  <si>
    <r>
      <rPr>
        <u/>
        <sz val="11"/>
        <color theme="1"/>
        <rFont val="Segoe UI"/>
        <family val="2"/>
      </rPr>
      <t>Low</t>
    </r>
    <r>
      <rPr>
        <sz val="11"/>
        <color theme="1"/>
        <rFont val="Segoe UI"/>
        <family val="2"/>
      </rPr>
      <t xml:space="preserve"> Digital intensity index of enterprises with more than ten employees (%)</t>
    </r>
  </si>
  <si>
    <r>
      <rPr>
        <u/>
        <sz val="11"/>
        <color theme="1"/>
        <rFont val="Segoe UI"/>
        <family val="2"/>
      </rPr>
      <t>High</t>
    </r>
    <r>
      <rPr>
        <sz val="11"/>
        <color theme="1"/>
        <rFont val="Segoe UI"/>
        <family val="2"/>
      </rPr>
      <t xml:space="preserve"> Digital intensity index of enterprises with more than ten employees (%)</t>
    </r>
  </si>
  <si>
    <r>
      <rPr>
        <u/>
        <sz val="11"/>
        <color theme="1"/>
        <rFont val="Segoe UI"/>
        <family val="2"/>
      </rPr>
      <t>Very High</t>
    </r>
    <r>
      <rPr>
        <sz val="11"/>
        <color theme="1"/>
        <rFont val="Segoe UI"/>
        <family val="2"/>
      </rPr>
      <t xml:space="preserve"> Digital intensity index of enterprises with more than ten employees (%)</t>
    </r>
  </si>
  <si>
    <t>Grado di fiducia dichiarato nei sondaggi Eurobarometro</t>
  </si>
  <si>
    <t>crescita % delle transazioni cashless 2024 vs 2023</t>
  </si>
  <si>
    <t>Soglia legale massima per uso del contante</t>
  </si>
  <si>
    <t>Descrizione</t>
  </si>
  <si>
    <t>Fonte</t>
  </si>
  <si>
    <t>Eurostat</t>
  </si>
  <si>
    <t>Osservatorio SumUP Europa Cashless</t>
  </si>
  <si>
    <t>https://www.sumup.com/it-it/business-guide/pagamenti-cashless-europa-osservatorio-2024/</t>
  </si>
  <si>
    <t>/</t>
  </si>
  <si>
    <t>https://www.ecb.europa.eu/stats/ecb_surveys/space/html/ecb.space2024~19d46f0f17.en.html#toc5</t>
  </si>
  <si>
    <t>NO area euro</t>
  </si>
  <si>
    <r>
      <t>67 (-1)</t>
    </r>
    <r>
      <rPr>
        <sz val="11"/>
        <color rgb="FFFF0000"/>
        <rFont val="Calibri"/>
        <family val="2"/>
        <scheme val="minor"/>
      </rPr>
      <t>🔽</t>
    </r>
  </si>
  <si>
    <r>
      <t xml:space="preserve">56 (-2) </t>
    </r>
    <r>
      <rPr>
        <sz val="11"/>
        <color rgb="FFFF0000"/>
        <rFont val="Calibri"/>
        <family val="2"/>
        <scheme val="minor"/>
      </rPr>
      <t>🔽</t>
    </r>
  </si>
  <si>
    <r>
      <t>36 (-3)</t>
    </r>
    <r>
      <rPr>
        <sz val="12"/>
        <color rgb="FFFF0000"/>
        <rFont val="Calibri"/>
        <family val="2"/>
        <scheme val="minor"/>
      </rPr>
      <t>🔽</t>
    </r>
  </si>
  <si>
    <r>
      <t>50 (-3)</t>
    </r>
    <r>
      <rPr>
        <sz val="12"/>
        <color rgb="FFFF0000"/>
        <rFont val="Calibri"/>
        <family val="2"/>
        <scheme val="minor"/>
      </rPr>
      <t>🔽</t>
    </r>
  </si>
  <si>
    <r>
      <t xml:space="preserve">67 (-1) </t>
    </r>
    <r>
      <rPr>
        <sz val="11"/>
        <color rgb="FFFF0000"/>
        <rFont val="Calibri"/>
        <family val="2"/>
        <scheme val="minor"/>
      </rPr>
      <t>🔽</t>
    </r>
  </si>
  <si>
    <r>
      <t xml:space="preserve">40 (-5) </t>
    </r>
    <r>
      <rPr>
        <sz val="11"/>
        <color rgb="FFFF0000"/>
        <rFont val="Calibri"/>
        <family val="2"/>
        <scheme val="minor"/>
      </rPr>
      <t>🔽</t>
    </r>
  </si>
  <si>
    <r>
      <t>68 (-1)</t>
    </r>
    <r>
      <rPr>
        <sz val="11"/>
        <color rgb="FFFF0000"/>
        <rFont val="Calibri"/>
        <family val="2"/>
        <scheme val="minor"/>
      </rPr>
      <t>🔽</t>
    </r>
  </si>
  <si>
    <r>
      <t xml:space="preserve">53 (-3) </t>
    </r>
    <r>
      <rPr>
        <sz val="11"/>
        <color rgb="FFFF0000"/>
        <rFont val="Calibri"/>
        <family val="2"/>
        <scheme val="minor"/>
      </rPr>
      <t>🔽</t>
    </r>
  </si>
  <si>
    <r>
      <t xml:space="preserve">37 (-3) </t>
    </r>
    <r>
      <rPr>
        <sz val="11"/>
        <color rgb="FFFF0000"/>
        <rFont val="Calibri"/>
        <family val="2"/>
        <scheme val="minor"/>
      </rPr>
      <t>🔽</t>
    </r>
  </si>
  <si>
    <r>
      <t>59 (-3)</t>
    </r>
    <r>
      <rPr>
        <sz val="11"/>
        <color rgb="FFFF0000"/>
        <rFont val="Calibri"/>
        <family val="2"/>
        <scheme val="minor"/>
      </rPr>
      <t>🔽</t>
    </r>
  </si>
  <si>
    <r>
      <t xml:space="preserve">64 (+1) </t>
    </r>
    <r>
      <rPr>
        <sz val="12"/>
        <color rgb="FF00B050"/>
        <rFont val="Calibri"/>
        <family val="2"/>
        <scheme val="minor"/>
      </rPr>
      <t>🔼</t>
    </r>
  </si>
  <si>
    <r>
      <t>51 (+1)</t>
    </r>
    <r>
      <rPr>
        <sz val="12"/>
        <color rgb="FF00B050"/>
        <rFont val="Calibri"/>
        <family val="2"/>
        <scheme val="minor"/>
      </rPr>
      <t>🔼</t>
    </r>
  </si>
  <si>
    <r>
      <t xml:space="preserve">53 (+2) </t>
    </r>
    <r>
      <rPr>
        <sz val="11"/>
        <color rgb="FF00B050"/>
        <rFont val="Calibri"/>
        <family val="2"/>
        <scheme val="minor"/>
      </rPr>
      <t>🔼</t>
    </r>
  </si>
  <si>
    <r>
      <t xml:space="preserve">63 (+11) </t>
    </r>
    <r>
      <rPr>
        <sz val="11"/>
        <color rgb="FF00B050"/>
        <rFont val="Calibri"/>
        <family val="2"/>
        <scheme val="minor"/>
      </rPr>
      <t>🔼</t>
    </r>
  </si>
  <si>
    <r>
      <t xml:space="preserve">65 (+5) </t>
    </r>
    <r>
      <rPr>
        <sz val="11"/>
        <color rgb="FF00B050"/>
        <rFont val="Calibri"/>
        <family val="2"/>
        <scheme val="minor"/>
      </rPr>
      <t>🔼</t>
    </r>
  </si>
  <si>
    <r>
      <t>54 (+3)</t>
    </r>
    <r>
      <rPr>
        <sz val="11"/>
        <color rgb="FF00B050"/>
        <rFont val="Calibri"/>
        <family val="2"/>
        <scheme val="minor"/>
      </rPr>
      <t>🔼</t>
    </r>
  </si>
  <si>
    <r>
      <t xml:space="preserve">57 (+1) </t>
    </r>
    <r>
      <rPr>
        <sz val="11"/>
        <color rgb="FF00B050"/>
        <rFont val="Calibri"/>
        <family val="2"/>
        <scheme val="minor"/>
      </rPr>
      <t>🔼</t>
    </r>
  </si>
  <si>
    <r>
      <t xml:space="preserve">60 (+10) </t>
    </r>
    <r>
      <rPr>
        <sz val="11"/>
        <color rgb="FF00B050"/>
        <rFont val="Calibri"/>
        <family val="2"/>
        <scheme val="minor"/>
      </rPr>
      <t>🔼</t>
    </r>
  </si>
  <si>
    <r>
      <t xml:space="preserve">51 (+1) </t>
    </r>
    <r>
      <rPr>
        <sz val="11"/>
        <color rgb="FF00B050"/>
        <rFont val="Calibri"/>
        <family val="2"/>
        <scheme val="minor"/>
      </rPr>
      <t>🔼</t>
    </r>
  </si>
  <si>
    <r>
      <t>49 (+2)</t>
    </r>
    <r>
      <rPr>
        <sz val="11"/>
        <color rgb="FF00B050"/>
        <rFont val="Calibri"/>
        <family val="2"/>
        <scheme val="minor"/>
      </rPr>
      <t>🔼</t>
    </r>
  </si>
  <si>
    <r>
      <t xml:space="preserve">35 (+1) </t>
    </r>
    <r>
      <rPr>
        <sz val="11"/>
        <color rgb="FF00B050"/>
        <rFont val="Calibri"/>
        <family val="2"/>
        <scheme val="minor"/>
      </rPr>
      <t>🔼</t>
    </r>
  </si>
  <si>
    <r>
      <t xml:space="preserve">52 (+1) </t>
    </r>
    <r>
      <rPr>
        <sz val="11"/>
        <color rgb="FF00B050"/>
        <rFont val="Calibri"/>
        <family val="2"/>
        <scheme val="minor"/>
      </rPr>
      <t>🔼</t>
    </r>
  </si>
  <si>
    <r>
      <t xml:space="preserve">56 (+3) </t>
    </r>
    <r>
      <rPr>
        <sz val="11"/>
        <color rgb="FF00B050"/>
        <rFont val="Calibri"/>
        <family val="2"/>
        <scheme val="minor"/>
      </rPr>
      <t>🔼</t>
    </r>
  </si>
  <si>
    <r>
      <t xml:space="preserve">53 (+1) </t>
    </r>
    <r>
      <rPr>
        <sz val="11"/>
        <color rgb="FF00B050"/>
        <rFont val="Calibri"/>
        <family val="2"/>
        <scheme val="minor"/>
      </rPr>
      <t>🔼</t>
    </r>
  </si>
  <si>
    <r>
      <t xml:space="preserve">51 (+5) </t>
    </r>
    <r>
      <rPr>
        <sz val="11"/>
        <color rgb="FF00B050"/>
        <rFont val="Calibri"/>
        <family val="2"/>
        <scheme val="minor"/>
      </rPr>
      <t>🔼</t>
    </r>
  </si>
  <si>
    <r>
      <t xml:space="preserve">56 (=) </t>
    </r>
    <r>
      <rPr>
        <sz val="11"/>
        <color rgb="FFFFC000"/>
        <rFont val="Calibri"/>
        <family val="2"/>
        <scheme val="minor"/>
      </rPr>
      <t>◀️</t>
    </r>
  </si>
  <si>
    <r>
      <t xml:space="preserve">43 (=) </t>
    </r>
    <r>
      <rPr>
        <sz val="11"/>
        <color rgb="FFFFC000"/>
        <rFont val="Calibri"/>
        <family val="2"/>
        <scheme val="minor"/>
      </rPr>
      <t>◀️</t>
    </r>
  </si>
  <si>
    <r>
      <t xml:space="preserve">51 (+2) </t>
    </r>
    <r>
      <rPr>
        <b/>
        <sz val="12"/>
        <color rgb="FF00B050"/>
        <rFont val="Calibri"/>
        <family val="2"/>
        <scheme val="minor"/>
      </rPr>
      <t>🔼</t>
    </r>
  </si>
  <si>
    <t>BCE, calcoli basati su De Nederlandsche Bank e Dutch Payments Association (2023) e Deutsche Bundesbank (2024)</t>
  </si>
  <si>
    <t>Gli intervistati hanno espresso preoccupazione per la propria privacy durante i pagamenti digitali e le attività bancarie, sia per il desiderio di maggiore riservatezza nelle transazioni, sia per il timore che i propri dati vengano utilizzati a fini commerciali o senza consenso</t>
  </si>
  <si>
    <r>
      <t xml:space="preserve">Preoccupazioni sulla privacy: </t>
    </r>
    <r>
      <rPr>
        <u/>
        <sz val="11"/>
        <color theme="1"/>
        <rFont val="Segoe UI"/>
        <family val="2"/>
      </rPr>
      <t>SI</t>
    </r>
  </si>
  <si>
    <r>
      <t xml:space="preserve">Preoccupazioni sulla privacy: </t>
    </r>
    <r>
      <rPr>
        <u/>
        <sz val="11"/>
        <color theme="1"/>
        <rFont val="Segoe UI"/>
        <family val="2"/>
      </rPr>
      <t>NO</t>
    </r>
  </si>
  <si>
    <r>
      <t xml:space="preserve">Preoccupazioni sulla privacy: </t>
    </r>
    <r>
      <rPr>
        <u/>
        <sz val="11"/>
        <color theme="1"/>
        <rFont val="Segoe UI"/>
        <family val="2"/>
      </rPr>
      <t>Non sa/Riufiuta di Rispondere</t>
    </r>
  </si>
  <si>
    <t>Preoccupazioni sulla privacy relative ai pagamenti digitali (solo Area Euro)</t>
  </si>
  <si>
    <t>https://www.ecb.europa.eu/stats/ecb_surveys/space/html/ecb.space2024~19d46f0f17.en.html#toc35</t>
  </si>
  <si>
    <r>
      <t xml:space="preserve">Numero di Pagamenti mediante: </t>
    </r>
    <r>
      <rPr>
        <u/>
        <sz val="11"/>
        <color theme="1"/>
        <rFont val="Segoe UI"/>
        <family val="2"/>
      </rPr>
      <t>Contante</t>
    </r>
  </si>
  <si>
    <r>
      <t xml:space="preserve">Numero di Pagamenti mediante: </t>
    </r>
    <r>
      <rPr>
        <u/>
        <sz val="11"/>
        <color theme="1"/>
        <rFont val="Segoe UI"/>
        <family val="2"/>
      </rPr>
      <t>Carte Bancarie</t>
    </r>
  </si>
  <si>
    <r>
      <t xml:space="preserve">Numero di Pagamenti mediante: </t>
    </r>
    <r>
      <rPr>
        <u/>
        <sz val="11"/>
        <color theme="1"/>
        <rFont val="Segoe UI"/>
        <family val="2"/>
      </rPr>
      <t>Mobile App</t>
    </r>
  </si>
  <si>
    <r>
      <t xml:space="preserve">Numero di Pagamenti mediante: </t>
    </r>
    <r>
      <rPr>
        <u/>
        <sz val="11"/>
        <color theme="1"/>
        <rFont val="Segoe UI"/>
        <family val="2"/>
      </rPr>
      <t>Altri Strumenti di Pagamento</t>
    </r>
  </si>
  <si>
    <r>
      <t xml:space="preserve">Preoccupazioni sulla privacy: </t>
    </r>
    <r>
      <rPr>
        <u/>
        <sz val="11"/>
        <color theme="1"/>
        <rFont val="Segoe UI"/>
        <family val="2"/>
      </rPr>
      <t>NON SA/NON USA solitamente pagamenti digitali</t>
    </r>
  </si>
  <si>
    <t>In alcuni Paesi senza un limite legale, possono esistere obblighi di identificazione o segnalazione per transazioni di importo elevato. Ad esempio, in Germania, per pagamenti in contanti superiori a 10.000 euro, è richiesto l'obbligo di registrazione delle operazioni e dell'identità di chi paga</t>
  </si>
  <si>
    <t>La categoria "Carte" comprende carte fisiche (carte di debito e di credito) e carte prepagate. La categoria "Altro" comprende assegni bancari, bonifici, addebiti diretti, punti fedeltà, buoni e carte regalo e altri strumenti di pagamento. La definizione di pagamenti tramite POS differisce da quella utilizzata dalla Deutsche Bundesbank (2024), che includeva solo i pagamenti in supermercati, negozi locali, farmacie e stazioni di servizio</t>
  </si>
  <si>
    <t>Quota di strumenti di pagamento utilizzati al POS (solo Area Euro)</t>
  </si>
  <si>
    <t>BCE, calcoli basati su De Nederlandsche Bank e sulla Dutch Payments Association (2024) e sulla Deutsche Bundesbank (2024)</t>
  </si>
  <si>
    <t>Sondaggio della BCE</t>
  </si>
  <si>
    <t>Frequenza di accesso a Internet: una volta a settimana (incluso tutti i giorni) (% di individui)</t>
  </si>
  <si>
    <t>Distribuzione geografica dei sistemi di carte nazionali nel 2024</t>
  </si>
  <si>
    <t>Individui che hanno utilizzato Internet, frequenza di utilizzo e attività (%)</t>
  </si>
  <si>
    <t>Classificazione statistica delle attività economiche nella Comunità europea (NACE Rev. 2): tutte le attività (eccetto agricoltura, silvicoltura e pesca, nonché attività estrattive e di cave), escluso il settore finanziario</t>
  </si>
  <si>
    <t>Persone che utilizzano l'internet banking (%)</t>
  </si>
  <si>
    <t>Note</t>
  </si>
  <si>
    <t>Intensità digitale per classe di dimensione dell'impresa</t>
  </si>
  <si>
    <r>
      <t>L’obiettivo della parte empirica è comprendere a che stadio si trovi il progetto dell’</t>
    </r>
    <r>
      <rPr>
        <b/>
        <sz val="14"/>
        <color theme="1"/>
        <rFont val="Calibri Light"/>
        <family val="2"/>
        <scheme val="major"/>
      </rPr>
      <t>euro digitale</t>
    </r>
    <r>
      <rPr>
        <sz val="14"/>
        <color theme="1"/>
        <rFont val="Calibri Light"/>
        <family val="2"/>
        <scheme val="major"/>
      </rPr>
      <t xml:space="preserve"> rispetto alle altre CBDC e individuare quali Paesi dell’Eurozona siano più predisposti – o, al contrario, più resistenti – alla sua adozione, cercando di comprendere le ragioni alla base di tali differenze. A tal fine, sono state analizzate diverse variabili in un’ottica comparativa, con l’intento di individuare </t>
    </r>
    <r>
      <rPr>
        <b/>
        <sz val="14"/>
        <color theme="1"/>
        <rFont val="Calibri Light"/>
        <family val="2"/>
        <scheme val="major"/>
      </rPr>
      <t>tendenze rilevanti</t>
    </r>
    <r>
      <rPr>
        <sz val="14"/>
        <color theme="1"/>
        <rFont val="Calibri Light"/>
        <family val="2"/>
        <scheme val="major"/>
      </rPr>
      <t xml:space="preserve"> e </t>
    </r>
    <r>
      <rPr>
        <b/>
        <sz val="14"/>
        <color theme="1"/>
        <rFont val="Calibri Light"/>
        <family val="2"/>
        <scheme val="major"/>
      </rPr>
      <t>differenze strutturali</t>
    </r>
    <r>
      <rPr>
        <sz val="14"/>
        <color theme="1"/>
        <rFont val="Calibri Light"/>
        <family val="2"/>
        <scheme val="major"/>
      </rPr>
      <t xml:space="preserve"> tra i Paesi dell’Eurozona, senza però ridurre la complessità del contesto politico, culturale e regolamentare di ciascun Paese. In particolare:
➡️ i dati relativi all’uso dei pagamenti digitali (e al suo tasso di crescita rispetto al 2023), all’internet banking e al livello di digitalizzazione delle imprese non solo ci mostrano in modo dinamico il trend che si sta affermando, ma anche un quadro della </t>
    </r>
    <r>
      <rPr>
        <b/>
        <sz val="14"/>
        <color rgb="FFFF0000"/>
        <rFont val="Calibri Light"/>
        <family val="2"/>
        <scheme val="major"/>
      </rPr>
      <t>maturità digitale delle economie analizzate;</t>
    </r>
    <r>
      <rPr>
        <sz val="14"/>
        <color theme="1"/>
        <rFont val="Calibri Light"/>
        <family val="2"/>
        <scheme val="major"/>
      </rPr>
      <t xml:space="preserve">
➡️ la fiducia nell'UE e nelle sue istituzione (in particolare la BCE), le preoccupazioni sulla privacy relative ai pagamenti cashless e le limitazioni legali al contante riflettono invece l’atteggiamento istituzionale e culturale nei confronti dell’</t>
    </r>
    <r>
      <rPr>
        <b/>
        <sz val="14"/>
        <color rgb="FFFF0000"/>
        <rFont val="Calibri Light"/>
        <family val="2"/>
        <scheme val="major"/>
      </rPr>
      <t>intervento pubblico nella sfera monetaria;</t>
    </r>
    <r>
      <rPr>
        <sz val="14"/>
        <color theme="1"/>
        <rFont val="Calibri Light"/>
        <family val="2"/>
        <scheme val="major"/>
      </rPr>
      <t xml:space="preserve">
➡️ la frequenza d'uso di internet per le attività, i diversi strumenti di pagamento e la presenza di circuiti nazionali di pagamento può influenzare l’</t>
    </r>
    <r>
      <rPr>
        <b/>
        <sz val="14"/>
        <color rgb="FFFF0000"/>
        <rFont val="Calibri Light"/>
        <family val="2"/>
        <scheme val="major"/>
      </rPr>
      <t>interoperabilità</t>
    </r>
    <r>
      <rPr>
        <sz val="14"/>
        <color theme="1"/>
        <rFont val="Calibri Light"/>
        <family val="2"/>
        <scheme val="major"/>
      </rPr>
      <t xml:space="preserve"> e il </t>
    </r>
    <r>
      <rPr>
        <b/>
        <sz val="14"/>
        <color rgb="FFFF0000"/>
        <rFont val="Calibri Light"/>
        <family val="2"/>
        <scheme val="major"/>
      </rPr>
      <t>grado di accettazione</t>
    </r>
    <r>
      <rPr>
        <sz val="14"/>
        <color theme="1"/>
        <rFont val="Calibri Light"/>
        <family val="2"/>
        <scheme val="major"/>
      </rPr>
      <t xml:space="preserve"> di una nuova infrastruttura economica.</t>
    </r>
  </si>
  <si>
    <t>Livello di adozione delle tecnologie digitali per operazioni bancarie, a livello individuale</t>
  </si>
  <si>
    <t>Indica la familiarità e fiducia della popolazione nei confronti dei servizi finanziari digitali</t>
  </si>
  <si>
    <t>Tasso di crescita dei pagamenti digitali [2024 vs 2023] (%)</t>
  </si>
  <si>
    <t>Le imprese giocano un ruolo chiave nei pagamenti e nelle abitudini economiche, per cui un sistema imprenditoriale sempre più digitalizzato può facilitare l'accettazione e l'adozione dell'infrastruttura per l’euro digitale</t>
  </si>
  <si>
    <t>Essendo l’Euro Digitale un progetto guidato dalla BCE e sostenuto dall’UE, esso indica il capitale politico e istituzionale su cui può contare l’UE nei singoli Paesi</t>
  </si>
  <si>
    <t>Link ed altre Note Utili</t>
  </si>
  <si>
    <t>Un contesto dove il contante è limitato spinge i cittadini verso alternative digitali. Di fatto, è un indicatore regolamentare della predisposizione non solo tecnologica, ma anche (e soprattutto) culturale</t>
  </si>
  <si>
    <t>Essendo la Privacy un tema centrale nel dibattito sull’euro digitale, la diffidenza su come possono venire utilizzati i propri dati può frenare l’adozione dell'euro digitale, nonostante i buoni indicatori digitali</t>
  </si>
  <si>
    <t>Indica le abitudini concrete di pagamento dei consumatori nei negozi. Aiuta a distinguere tra predisposizione dichiarata e effettiva nei comportamenti reali</t>
  </si>
  <si>
    <t>Indica il livello generale di inclusione digitale. L’euro digitale richiederà accesso regolare a internet e dispositivi connessi, per cui le popolazioni digitalmente sconnesse potrebbero essere più marginalizzate</t>
  </si>
  <si>
    <t>Indica il livello di autonomia infrastrutturale nei pagamenti digitali a livello nazionale. Paesi con sviluppati circuiti nazionali potrebbero essere più conservativi e meno aperti all’integrazione in un sistema centralizzato UE, mentre chi ne è esente, potrebbe essere più predisposto a vedere nell'euro digitale un'opportunità</t>
  </si>
  <si>
    <t>Adotta € come moneta unica nazionale</t>
  </si>
  <si>
    <t>Paesi con crescita rapida potrebbero essere in transizione attiva verso un ecosistema digitale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</si>
</sst>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2" formatCode="_-* #,##0\ &quot;€&quot;_-;\-* #,##0\ &quot;€&quot;_-;_-* &quot;-&quot;\ &quot;€&quot;_-;_-@_-"/>
    <numFmt numFmtId="44" formatCode="_-* #,##0.00\ &quot;€&quot;_-;\-* #,##0.00\ &quot;€&quot;_-;_-* &quot;-&quot;??\ &quot;€&quot;_-;_-@_-"/>
    <numFmt numFmtId="164" formatCode="_(* #,##0_);_(* \(#,##0\);_(* &quot;-&quot;_);_(@_)"/>
    <numFmt numFmtId="165" formatCode="_(* #,##0.00_);_(* \(#,##0.00\);_(* &quot;-&quot;??_);_(@_)"/>
    <numFmt numFmtId="166" formatCode="mmmm\ yyyy"/>
    <numFmt numFmtId="167" formatCode="&quot;$&quot;#,##0"/>
    <numFmt numFmtId="168" formatCode="&quot;€&quot;\ #,##0"/>
    <numFmt numFmtId="169" formatCode="#,##0.00\ &quot;€&quot;"/>
  </numFmts>
  <fonts count="5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sz val="12"/>
      <color theme="3" tint="-0.499984740745262"/>
      <name val="Calibri Light"/>
      <family val="2"/>
      <scheme val="major"/>
    </font>
    <font>
      <sz val="56"/>
      <color theme="1"/>
      <name val="Calibri Light"/>
      <family val="2"/>
      <scheme val="major"/>
    </font>
    <font>
      <sz val="56"/>
      <color theme="3" tint="-0.499984740745262"/>
      <name val="Calibri Light"/>
      <family val="2"/>
      <scheme val="maj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Segoe UI"/>
      <family val="2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8"/>
      <color theme="1"/>
      <name val="Calibri Light"/>
      <family val="2"/>
      <scheme val="major"/>
    </font>
    <font>
      <u/>
      <sz val="11"/>
      <color theme="10"/>
      <name val="Calibri"/>
      <family val="2"/>
      <scheme val="minor"/>
    </font>
    <font>
      <b/>
      <sz val="45"/>
      <color theme="1"/>
      <name val="Calibri"/>
      <family val="2"/>
      <scheme val="minor"/>
    </font>
    <font>
      <b/>
      <i/>
      <sz val="14"/>
      <color theme="1"/>
      <name val="Calibri Light"/>
      <family val="2"/>
      <scheme val="major"/>
    </font>
    <font>
      <sz val="11"/>
      <color theme="1"/>
      <name val="Segoe UI"/>
      <family val="2"/>
    </font>
    <font>
      <b/>
      <sz val="11"/>
      <name val="Segoe UI"/>
      <family val="2"/>
    </font>
    <font>
      <u/>
      <sz val="11"/>
      <color theme="1"/>
      <name val="Segoe UI"/>
      <family val="2"/>
    </font>
    <font>
      <b/>
      <sz val="12"/>
      <color theme="1"/>
      <name val="Segoe UI"/>
      <family val="2"/>
    </font>
    <font>
      <i/>
      <sz val="11"/>
      <color theme="1"/>
      <name val="Segoe UI"/>
      <family val="2"/>
    </font>
    <font>
      <i/>
      <sz val="11"/>
      <name val="Segoe UI"/>
      <family val="2"/>
    </font>
    <font>
      <i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4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i/>
      <sz val="12"/>
      <color theme="1"/>
      <name val="Segoe UI"/>
      <family val="2"/>
    </font>
    <font>
      <i/>
      <sz val="10"/>
      <color theme="1"/>
      <name val="Segoe UI"/>
      <family val="2"/>
    </font>
    <font>
      <b/>
      <sz val="12"/>
      <name val="Segoe UI"/>
      <family val="2"/>
    </font>
    <font>
      <i/>
      <sz val="10"/>
      <name val="Segoe UI"/>
      <family val="2"/>
    </font>
  </fonts>
  <fills count="46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thin">
        <color theme="3" tint="0.39994506668294322"/>
      </left>
      <right style="thin">
        <color theme="3" tint="0.39994506668294322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3" tint="0.39994506668294322"/>
      </left>
      <right style="thin">
        <color theme="3" tint="0.39994506668294322"/>
      </right>
      <top/>
      <bottom style="thin">
        <color theme="3" tint="0.3999450666829432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/>
      <diagonal/>
    </border>
  </borders>
  <cellStyleXfs count="48">
    <xf numFmtId="0" fontId="0" fillId="0" borderId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1" applyNumberFormat="0" applyFill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5" borderId="0" applyNumberFormat="0" applyBorder="0" applyAlignment="0" applyProtection="0"/>
    <xf numFmtId="0" fontId="14" fillId="6" borderId="0" applyNumberFormat="0" applyBorder="0" applyAlignment="0" applyProtection="0"/>
    <xf numFmtId="0" fontId="15" fillId="7" borderId="4" applyNumberFormat="0" applyAlignment="0" applyProtection="0"/>
    <xf numFmtId="0" fontId="16" fillId="8" borderId="5" applyNumberFormat="0" applyAlignment="0" applyProtection="0"/>
    <xf numFmtId="0" fontId="17" fillId="8" borderId="4" applyNumberFormat="0" applyAlignment="0" applyProtection="0"/>
    <xf numFmtId="0" fontId="18" fillId="0" borderId="6" applyNumberFormat="0" applyFill="0" applyAlignment="0" applyProtection="0"/>
    <xf numFmtId="0" fontId="19" fillId="9" borderId="7" applyNumberFormat="0" applyAlignment="0" applyProtection="0"/>
    <xf numFmtId="0" fontId="20" fillId="0" borderId="0" applyNumberFormat="0" applyFill="0" applyBorder="0" applyAlignment="0" applyProtection="0"/>
    <xf numFmtId="0" fontId="7" fillId="10" borderId="8" applyNumberFormat="0" applyFont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3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23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23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23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23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23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28" fillId="0" borderId="0" applyNumberFormat="0" applyFill="0" applyBorder="0" applyAlignment="0" applyProtection="0"/>
  </cellStyleXfs>
  <cellXfs count="161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horizontal="left" indent="1"/>
    </xf>
    <xf numFmtId="0" fontId="1" fillId="0" borderId="0" xfId="0" applyFont="1"/>
    <xf numFmtId="0" fontId="2" fillId="3" borderId="0" xfId="0" applyFont="1" applyFill="1"/>
    <xf numFmtId="0" fontId="2" fillId="0" borderId="0" xfId="0" applyFont="1"/>
    <xf numFmtId="0" fontId="3" fillId="3" borderId="0" xfId="0" applyFont="1" applyFill="1"/>
    <xf numFmtId="0" fontId="3" fillId="3" borderId="0" xfId="0" applyFont="1" applyFill="1" applyAlignment="1">
      <alignment horizontal="left" indent="1"/>
    </xf>
    <xf numFmtId="0" fontId="4" fillId="3" borderId="0" xfId="0" applyFont="1" applyFill="1"/>
    <xf numFmtId="0" fontId="3" fillId="0" borderId="0" xfId="0" applyFont="1"/>
    <xf numFmtId="0" fontId="5" fillId="3" borderId="0" xfId="0" applyFont="1" applyFill="1"/>
    <xf numFmtId="0" fontId="5" fillId="3" borderId="0" xfId="0" applyFont="1" applyFill="1" applyAlignment="1">
      <alignment horizontal="left" indent="1"/>
    </xf>
    <xf numFmtId="0" fontId="6" fillId="3" borderId="0" xfId="0" applyFont="1" applyFill="1"/>
    <xf numFmtId="0" fontId="5" fillId="0" borderId="0" xfId="0" applyFont="1"/>
    <xf numFmtId="0" fontId="0" fillId="0" borderId="0" xfId="0" applyAlignment="1">
      <alignment horizontal="left" vertical="center" indent="1"/>
    </xf>
    <xf numFmtId="0" fontId="1" fillId="3" borderId="0" xfId="0" applyFont="1" applyFill="1" applyAlignment="1">
      <alignment horizontal="left" vertical="center" indent="1"/>
    </xf>
    <xf numFmtId="167" fontId="1" fillId="3" borderId="0" xfId="0" applyNumberFormat="1" applyFont="1" applyFill="1" applyAlignment="1">
      <alignment horizontal="left" vertical="center" indent="1"/>
    </xf>
    <xf numFmtId="9" fontId="1" fillId="3" borderId="0" xfId="0" applyNumberFormat="1" applyFont="1" applyFill="1" applyAlignment="1">
      <alignment horizontal="left" vertical="center" indent="1"/>
    </xf>
    <xf numFmtId="166" fontId="1" fillId="3" borderId="0" xfId="0" applyNumberFormat="1" applyFont="1" applyFill="1" applyAlignment="1">
      <alignment horizontal="left" vertical="center" indent="1"/>
    </xf>
    <xf numFmtId="168" fontId="1" fillId="3" borderId="0" xfId="0" applyNumberFormat="1" applyFont="1" applyFill="1" applyAlignment="1">
      <alignment horizontal="left" vertical="center" indent="1"/>
    </xf>
    <xf numFmtId="0" fontId="22" fillId="35" borderId="10" xfId="0" applyFont="1" applyFill="1" applyBorder="1" applyAlignment="1">
      <alignment horizontal="center" vertical="center"/>
    </xf>
    <xf numFmtId="0" fontId="25" fillId="35" borderId="11" xfId="0" applyFont="1" applyFill="1" applyBorder="1" applyAlignment="1">
      <alignment horizontal="center" vertical="center"/>
    </xf>
    <xf numFmtId="2" fontId="0" fillId="0" borderId="0" xfId="5" applyNumberFormat="1" applyFont="1" applyAlignment="1">
      <alignment horizontal="left" vertical="center" indent="1"/>
    </xf>
    <xf numFmtId="2" fontId="1" fillId="3" borderId="0" xfId="5" applyNumberFormat="1" applyFont="1" applyFill="1" applyAlignment="1">
      <alignment horizontal="left" vertical="center" indent="1"/>
    </xf>
    <xf numFmtId="2" fontId="0" fillId="0" borderId="0" xfId="0" applyNumberFormat="1" applyAlignment="1">
      <alignment horizontal="left" vertical="center" indent="1"/>
    </xf>
    <xf numFmtId="2" fontId="1" fillId="3" borderId="0" xfId="0" applyNumberFormat="1" applyFont="1" applyFill="1" applyAlignment="1">
      <alignment horizontal="left" vertical="center" indent="1"/>
    </xf>
    <xf numFmtId="166" fontId="1" fillId="3" borderId="0" xfId="0" applyNumberFormat="1" applyFont="1" applyFill="1" applyAlignment="1">
      <alignment horizontal="center" vertical="top" wrapText="1"/>
    </xf>
    <xf numFmtId="0" fontId="25" fillId="3" borderId="0" xfId="0" applyFont="1" applyFill="1"/>
    <xf numFmtId="2" fontId="25" fillId="35" borderId="11" xfId="0" applyNumberFormat="1" applyFont="1" applyFill="1" applyBorder="1" applyAlignment="1">
      <alignment horizontal="center" vertical="center"/>
    </xf>
    <xf numFmtId="2" fontId="25" fillId="35" borderId="12" xfId="0" applyNumberFormat="1" applyFont="1" applyFill="1" applyBorder="1" applyAlignment="1">
      <alignment horizontal="center" vertical="center"/>
    </xf>
    <xf numFmtId="0" fontId="25" fillId="0" borderId="0" xfId="0" applyFont="1"/>
    <xf numFmtId="0" fontId="27" fillId="3" borderId="0" xfId="0" applyFont="1" applyFill="1" applyAlignment="1">
      <alignment horizontal="left" indent="2"/>
    </xf>
    <xf numFmtId="0" fontId="29" fillId="3" borderId="0" xfId="0" applyFont="1" applyFill="1" applyAlignment="1">
      <alignment horizontal="left" vertical="center" indent="1"/>
    </xf>
    <xf numFmtId="0" fontId="30" fillId="3" borderId="0" xfId="0" applyFont="1" applyFill="1" applyAlignment="1">
      <alignment horizontal="left" vertical="top" indent="2"/>
    </xf>
    <xf numFmtId="2" fontId="0" fillId="0" borderId="0" xfId="5" applyNumberFormat="1" applyFont="1" applyBorder="1" applyAlignment="1">
      <alignment horizontal="left" vertical="center" indent="1"/>
    </xf>
    <xf numFmtId="169" fontId="0" fillId="0" borderId="0" xfId="0" applyNumberFormat="1" applyAlignment="1">
      <alignment horizontal="left" vertical="center" indent="1"/>
    </xf>
    <xf numFmtId="169" fontId="1" fillId="3" borderId="0" xfId="0" applyNumberFormat="1" applyFont="1" applyFill="1" applyAlignment="1">
      <alignment horizontal="left" vertical="center" indent="1"/>
    </xf>
    <xf numFmtId="169" fontId="25" fillId="35" borderId="11" xfId="0" applyNumberFormat="1" applyFont="1" applyFill="1" applyBorder="1" applyAlignment="1">
      <alignment horizontal="center" vertical="center"/>
    </xf>
    <xf numFmtId="168" fontId="1" fillId="3" borderId="0" xfId="0" applyNumberFormat="1" applyFont="1" applyFill="1" applyAlignment="1">
      <alignment horizontal="left" vertical="center" wrapText="1" indent="1"/>
    </xf>
    <xf numFmtId="0" fontId="1" fillId="3" borderId="13" xfId="0" applyFont="1" applyFill="1" applyBorder="1" applyAlignment="1">
      <alignment horizontal="left" vertical="center" indent="1"/>
    </xf>
    <xf numFmtId="2" fontId="25" fillId="35" borderId="14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2" fontId="0" fillId="37" borderId="0" xfId="0" applyNumberFormat="1" applyFill="1" applyAlignment="1">
      <alignment horizontal="left" vertical="center" indent="1"/>
    </xf>
    <xf numFmtId="2" fontId="1" fillId="37" borderId="0" xfId="0" applyNumberFormat="1" applyFont="1" applyFill="1" applyAlignment="1">
      <alignment horizontal="left" vertical="center" indent="1"/>
    </xf>
    <xf numFmtId="49" fontId="0" fillId="3" borderId="16" xfId="0" applyNumberFormat="1" applyFill="1" applyBorder="1" applyAlignment="1">
      <alignment horizontal="left" vertical="center" indent="1"/>
    </xf>
    <xf numFmtId="49" fontId="0" fillId="3" borderId="13" xfId="0" applyNumberFormat="1" applyFill="1" applyBorder="1" applyAlignment="1">
      <alignment horizontal="left" vertical="center" indent="1"/>
    </xf>
    <xf numFmtId="9" fontId="0" fillId="42" borderId="0" xfId="5" applyFont="1" applyFill="1" applyAlignment="1">
      <alignment horizontal="left" vertical="center" indent="1"/>
    </xf>
    <xf numFmtId="9" fontId="1" fillId="42" borderId="0" xfId="5" applyFont="1" applyFill="1" applyAlignment="1">
      <alignment horizontal="left" vertical="center" indent="1"/>
    </xf>
    <xf numFmtId="9" fontId="25" fillId="35" borderId="11" xfId="5" applyFont="1" applyFill="1" applyBorder="1" applyAlignment="1">
      <alignment horizontal="center" vertical="center"/>
    </xf>
    <xf numFmtId="9" fontId="0" fillId="43" borderId="0" xfId="5" applyFont="1" applyFill="1" applyAlignment="1">
      <alignment horizontal="left" vertical="center" indent="1"/>
    </xf>
    <xf numFmtId="9" fontId="1" fillId="43" borderId="0" xfId="5" applyFont="1" applyFill="1" applyAlignment="1">
      <alignment horizontal="left" vertical="center" indent="1"/>
    </xf>
    <xf numFmtId="0" fontId="43" fillId="3" borderId="0" xfId="0" applyFont="1" applyFill="1" applyAlignment="1">
      <alignment horizontal="left" vertical="top" wrapText="1"/>
    </xf>
    <xf numFmtId="0" fontId="31" fillId="43" borderId="11" xfId="0" applyFont="1" applyFill="1" applyBorder="1" applyAlignment="1" applyProtection="1">
      <alignment horizontal="center" vertical="center" wrapText="1"/>
      <protection locked="0"/>
    </xf>
    <xf numFmtId="0" fontId="31" fillId="41" borderId="11" xfId="0" applyFont="1" applyFill="1" applyBorder="1" applyAlignment="1" applyProtection="1">
      <alignment horizontal="center" vertical="center" wrapText="1"/>
      <protection locked="0"/>
    </xf>
    <xf numFmtId="0" fontId="35" fillId="43" borderId="19" xfId="0" applyFont="1" applyFill="1" applyBorder="1" applyAlignment="1" applyProtection="1">
      <alignment horizontal="center" vertical="center" wrapText="1"/>
      <protection locked="0"/>
    </xf>
    <xf numFmtId="0" fontId="34" fillId="2" borderId="17" xfId="0" applyFont="1" applyFill="1" applyBorder="1" applyAlignment="1" applyProtection="1">
      <alignment horizontal="center" vertical="center" wrapText="1"/>
      <protection locked="0"/>
    </xf>
    <xf numFmtId="0" fontId="35" fillId="36" borderId="0" xfId="0" applyFont="1" applyFill="1" applyAlignment="1">
      <alignment horizontal="center" vertical="center" wrapText="1"/>
    </xf>
    <xf numFmtId="0" fontId="1" fillId="3" borderId="27" xfId="0" applyFont="1" applyFill="1" applyBorder="1" applyAlignment="1">
      <alignment horizontal="left" vertical="center" indent="1"/>
    </xf>
    <xf numFmtId="9" fontId="35" fillId="36" borderId="19" xfId="0" applyNumberFormat="1" applyFont="1" applyFill="1" applyBorder="1" applyAlignment="1">
      <alignment horizontal="left" vertical="center" indent="1"/>
    </xf>
    <xf numFmtId="9" fontId="35" fillId="36" borderId="0" xfId="0" applyNumberFormat="1" applyFont="1" applyFill="1" applyAlignment="1">
      <alignment horizontal="left" vertical="center" indent="1"/>
    </xf>
    <xf numFmtId="9" fontId="35" fillId="36" borderId="15" xfId="0" applyNumberFormat="1" applyFont="1" applyFill="1" applyBorder="1" applyAlignment="1">
      <alignment horizontal="left" vertical="center" indent="1"/>
    </xf>
    <xf numFmtId="0" fontId="31" fillId="38" borderId="19" xfId="0" applyFont="1" applyFill="1" applyBorder="1" applyAlignment="1" applyProtection="1">
      <alignment horizontal="center" vertical="center" wrapText="1"/>
      <protection locked="0"/>
    </xf>
    <xf numFmtId="0" fontId="37" fillId="39" borderId="11" xfId="0" applyFont="1" applyFill="1" applyBorder="1" applyAlignment="1" applyProtection="1">
      <alignment horizontal="left" vertical="center" indent="1"/>
      <protection locked="0"/>
    </xf>
    <xf numFmtId="0" fontId="31" fillId="44" borderId="19" xfId="0" applyFont="1" applyFill="1" applyBorder="1" applyAlignment="1" applyProtection="1">
      <alignment horizontal="center" vertical="center" wrapText="1"/>
      <protection locked="0"/>
    </xf>
    <xf numFmtId="168" fontId="35" fillId="39" borderId="11" xfId="0" applyNumberFormat="1" applyFont="1" applyFill="1" applyBorder="1" applyAlignment="1" applyProtection="1">
      <alignment horizontal="left" vertical="center" indent="1"/>
      <protection locked="0"/>
    </xf>
    <xf numFmtId="0" fontId="31" fillId="2" borderId="18" xfId="0" applyFont="1" applyFill="1" applyBorder="1" applyAlignment="1" applyProtection="1">
      <alignment horizontal="center" vertical="center" wrapText="1"/>
      <protection locked="0"/>
    </xf>
    <xf numFmtId="0" fontId="31" fillId="2" borderId="25" xfId="0" applyFont="1" applyFill="1" applyBorder="1" applyAlignment="1" applyProtection="1">
      <alignment horizontal="center" vertical="center" wrapText="1"/>
      <protection locked="0"/>
    </xf>
    <xf numFmtId="0" fontId="35" fillId="2" borderId="17" xfId="0" applyFont="1" applyFill="1" applyBorder="1" applyAlignment="1" applyProtection="1">
      <alignment horizontal="center" vertical="center" wrapText="1"/>
      <protection locked="0"/>
    </xf>
    <xf numFmtId="0" fontId="35" fillId="2" borderId="26" xfId="0" applyFont="1" applyFill="1" applyBorder="1" applyAlignment="1" applyProtection="1">
      <alignment horizontal="center" vertical="center" wrapText="1"/>
      <protection locked="0"/>
    </xf>
    <xf numFmtId="0" fontId="35" fillId="39" borderId="11" xfId="0" applyFont="1" applyFill="1" applyBorder="1" applyAlignment="1" applyProtection="1">
      <alignment horizontal="left" indent="8"/>
      <protection locked="0"/>
    </xf>
    <xf numFmtId="0" fontId="24" fillId="2" borderId="18" xfId="0" applyFont="1" applyFill="1" applyBorder="1" applyAlignment="1" applyProtection="1">
      <alignment horizontal="center" vertical="center" wrapText="1"/>
      <protection locked="0"/>
    </xf>
    <xf numFmtId="0" fontId="31" fillId="2" borderId="19" xfId="0" applyFont="1" applyFill="1" applyBorder="1" applyAlignment="1" applyProtection="1">
      <alignment horizontal="center" vertical="center" wrapText="1"/>
      <protection locked="0"/>
    </xf>
    <xf numFmtId="0" fontId="35" fillId="2" borderId="15" xfId="0" applyFont="1" applyFill="1" applyBorder="1" applyAlignment="1" applyProtection="1">
      <alignment horizontal="center" vertical="center" wrapText="1"/>
      <protection locked="0"/>
    </xf>
    <xf numFmtId="0" fontId="32" fillId="2" borderId="25" xfId="0" applyFont="1" applyFill="1" applyBorder="1" applyAlignment="1">
      <alignment horizontal="center" vertical="center" wrapText="1"/>
    </xf>
    <xf numFmtId="0" fontId="31" fillId="2" borderId="18" xfId="0" applyFont="1" applyFill="1" applyBorder="1" applyAlignment="1" applyProtection="1">
      <alignment horizontal="center" wrapText="1"/>
      <protection locked="0"/>
    </xf>
    <xf numFmtId="0" fontId="46" fillId="39" borderId="11" xfId="0" applyFont="1" applyFill="1" applyBorder="1" applyAlignment="1" applyProtection="1">
      <alignment horizontal="left" vertical="center" indent="1"/>
      <protection locked="0"/>
    </xf>
    <xf numFmtId="0" fontId="35" fillId="40" borderId="11" xfId="0" applyFont="1" applyFill="1" applyBorder="1" applyAlignment="1" applyProtection="1">
      <alignment horizontal="left" vertical="center" wrapText="1"/>
      <protection locked="0"/>
    </xf>
    <xf numFmtId="166" fontId="35" fillId="2" borderId="17" xfId="0" applyNumberFormat="1" applyFont="1" applyFill="1" applyBorder="1" applyAlignment="1" applyProtection="1">
      <alignment horizontal="left" vertical="center" wrapText="1"/>
      <protection locked="0"/>
    </xf>
    <xf numFmtId="0" fontId="36" fillId="2" borderId="26" xfId="0" applyFont="1" applyFill="1" applyBorder="1" applyAlignment="1">
      <alignment horizontal="left" vertical="center" wrapText="1"/>
    </xf>
    <xf numFmtId="0" fontId="46" fillId="40" borderId="10" xfId="0" applyFont="1" applyFill="1" applyBorder="1" applyAlignment="1" applyProtection="1">
      <alignment horizontal="left" vertical="center" indent="1"/>
      <protection locked="0"/>
    </xf>
    <xf numFmtId="0" fontId="46" fillId="40" borderId="11" xfId="0" applyFont="1" applyFill="1" applyBorder="1" applyAlignment="1" applyProtection="1">
      <alignment horizontal="left" vertical="center"/>
      <protection locked="0"/>
    </xf>
    <xf numFmtId="0" fontId="46" fillId="45" borderId="11" xfId="0" applyFont="1" applyFill="1" applyBorder="1" applyAlignment="1" applyProtection="1">
      <alignment horizontal="left" vertical="center"/>
      <protection locked="0"/>
    </xf>
    <xf numFmtId="0" fontId="35" fillId="45" borderId="12" xfId="0" applyFont="1" applyFill="1" applyBorder="1" applyAlignment="1" applyProtection="1">
      <alignment horizontal="left" vertical="center"/>
      <protection locked="0"/>
    </xf>
    <xf numFmtId="0" fontId="35" fillId="45" borderId="11" xfId="0" applyFont="1" applyFill="1" applyBorder="1" applyAlignment="1" applyProtection="1">
      <alignment horizontal="left" vertical="center"/>
      <protection locked="0"/>
    </xf>
    <xf numFmtId="0" fontId="35" fillId="40" borderId="11" xfId="0" applyFont="1" applyFill="1" applyBorder="1" applyAlignment="1" applyProtection="1">
      <alignment horizontal="left" vertical="center"/>
      <protection locked="0"/>
    </xf>
    <xf numFmtId="9" fontId="36" fillId="36" borderId="0" xfId="0" applyNumberFormat="1" applyFont="1" applyFill="1" applyAlignment="1">
      <alignment horizontal="left" vertical="center" indent="1"/>
    </xf>
    <xf numFmtId="0" fontId="36" fillId="36" borderId="0" xfId="0" applyFont="1" applyFill="1" applyAlignment="1">
      <alignment horizontal="center" vertical="center" wrapText="1"/>
    </xf>
    <xf numFmtId="9" fontId="36" fillId="36" borderId="15" xfId="0" applyNumberFormat="1" applyFont="1" applyFill="1" applyBorder="1" applyAlignment="1">
      <alignment horizontal="left" vertical="center" indent="1"/>
    </xf>
    <xf numFmtId="0" fontId="35" fillId="36" borderId="18" xfId="0" applyFont="1" applyFill="1" applyBorder="1" applyAlignment="1">
      <alignment horizontal="center" vertical="center" wrapText="1"/>
    </xf>
    <xf numFmtId="0" fontId="35" fillId="36" borderId="19" xfId="0" applyFont="1" applyFill="1" applyBorder="1" applyAlignment="1">
      <alignment horizontal="center" vertical="center" wrapText="1"/>
    </xf>
    <xf numFmtId="0" fontId="35" fillId="36" borderId="25" xfId="0" applyFont="1" applyFill="1" applyBorder="1" applyAlignment="1">
      <alignment horizontal="center" vertical="center" wrapText="1"/>
    </xf>
    <xf numFmtId="0" fontId="35" fillId="36" borderId="23" xfId="0" applyFont="1" applyFill="1" applyBorder="1" applyAlignment="1">
      <alignment horizontal="center" vertical="center" wrapText="1"/>
    </xf>
    <xf numFmtId="0" fontId="35" fillId="36" borderId="0" xfId="0" applyFont="1" applyFill="1" applyAlignment="1">
      <alignment horizontal="center" vertical="center" wrapText="1"/>
    </xf>
    <xf numFmtId="0" fontId="35" fillId="36" borderId="24" xfId="0" applyFont="1" applyFill="1" applyBorder="1" applyAlignment="1">
      <alignment horizontal="center" vertical="center" wrapText="1"/>
    </xf>
    <xf numFmtId="0" fontId="35" fillId="36" borderId="17" xfId="0" applyFont="1" applyFill="1" applyBorder="1" applyAlignment="1">
      <alignment horizontal="center" vertical="center" wrapText="1"/>
    </xf>
    <xf numFmtId="0" fontId="35" fillId="36" borderId="15" xfId="0" applyFont="1" applyFill="1" applyBorder="1" applyAlignment="1">
      <alignment horizontal="center" vertical="center" wrapText="1"/>
    </xf>
    <xf numFmtId="0" fontId="35" fillId="36" borderId="26" xfId="0" applyFont="1" applyFill="1" applyBorder="1" applyAlignment="1">
      <alignment horizontal="center" vertical="center" wrapText="1"/>
    </xf>
    <xf numFmtId="0" fontId="34" fillId="2" borderId="20" xfId="0" applyFont="1" applyFill="1" applyBorder="1" applyAlignment="1">
      <alignment horizontal="center" vertical="center" wrapText="1"/>
    </xf>
    <xf numFmtId="0" fontId="34" fillId="2" borderId="21" xfId="0" applyFont="1" applyFill="1" applyBorder="1" applyAlignment="1">
      <alignment horizontal="center" vertical="center" wrapText="1"/>
    </xf>
    <xf numFmtId="0" fontId="43" fillId="3" borderId="0" xfId="0" applyFont="1" applyFill="1" applyAlignment="1">
      <alignment horizontal="left" vertical="top" wrapText="1"/>
    </xf>
    <xf numFmtId="0" fontId="26" fillId="0" borderId="0" xfId="0" applyFont="1" applyAlignment="1">
      <alignment horizontal="center" vertical="center" wrapText="1"/>
    </xf>
    <xf numFmtId="0" fontId="35" fillId="36" borderId="20" xfId="0" applyFont="1" applyFill="1" applyBorder="1" applyAlignment="1">
      <alignment horizontal="center" vertical="center" wrapText="1"/>
    </xf>
    <xf numFmtId="0" fontId="35" fillId="36" borderId="21" xfId="0" applyFont="1" applyFill="1" applyBorder="1" applyAlignment="1">
      <alignment horizontal="center" vertical="center" wrapText="1"/>
    </xf>
    <xf numFmtId="0" fontId="35" fillId="36" borderId="22" xfId="0" applyFont="1" applyFill="1" applyBorder="1" applyAlignment="1">
      <alignment horizontal="center" vertical="center" wrapText="1"/>
    </xf>
    <xf numFmtId="9" fontId="35" fillId="36" borderId="20" xfId="0" applyNumberFormat="1" applyFont="1" applyFill="1" applyBorder="1" applyAlignment="1">
      <alignment horizontal="center" vertical="center" wrapText="1"/>
    </xf>
    <xf numFmtId="9" fontId="35" fillId="36" borderId="21" xfId="0" applyNumberFormat="1" applyFont="1" applyFill="1" applyBorder="1" applyAlignment="1">
      <alignment horizontal="center" vertical="center" wrapText="1"/>
    </xf>
    <xf numFmtId="9" fontId="35" fillId="36" borderId="22" xfId="0" applyNumberFormat="1" applyFont="1" applyFill="1" applyBorder="1" applyAlignment="1">
      <alignment horizontal="center" vertical="center" wrapText="1"/>
    </xf>
    <xf numFmtId="166" fontId="35" fillId="36" borderId="20" xfId="0" applyNumberFormat="1" applyFont="1" applyFill="1" applyBorder="1" applyAlignment="1">
      <alignment horizontal="center" vertical="center" wrapText="1"/>
    </xf>
    <xf numFmtId="166" fontId="35" fillId="36" borderId="21" xfId="0" applyNumberFormat="1" applyFont="1" applyFill="1" applyBorder="1" applyAlignment="1">
      <alignment horizontal="center" vertical="center" wrapText="1"/>
    </xf>
    <xf numFmtId="166" fontId="35" fillId="36" borderId="22" xfId="0" applyNumberFormat="1" applyFont="1" applyFill="1" applyBorder="1" applyAlignment="1">
      <alignment horizontal="center" vertical="center" wrapText="1"/>
    </xf>
    <xf numFmtId="9" fontId="35" fillId="36" borderId="18" xfId="0" applyNumberFormat="1" applyFont="1" applyFill="1" applyBorder="1" applyAlignment="1">
      <alignment horizontal="center" vertical="center" wrapText="1"/>
    </xf>
    <xf numFmtId="9" fontId="35" fillId="36" borderId="19" xfId="0" applyNumberFormat="1" applyFont="1" applyFill="1" applyBorder="1" applyAlignment="1">
      <alignment horizontal="center" vertical="center" wrapText="1"/>
    </xf>
    <xf numFmtId="9" fontId="35" fillId="36" borderId="25" xfId="0" applyNumberFormat="1" applyFont="1" applyFill="1" applyBorder="1" applyAlignment="1">
      <alignment horizontal="center" vertical="center" wrapText="1"/>
    </xf>
    <xf numFmtId="9" fontId="35" fillId="36" borderId="23" xfId="0" applyNumberFormat="1" applyFont="1" applyFill="1" applyBorder="1" applyAlignment="1">
      <alignment horizontal="center" vertical="center" wrapText="1"/>
    </xf>
    <xf numFmtId="9" fontId="35" fillId="36" borderId="0" xfId="0" applyNumberFormat="1" applyFont="1" applyFill="1" applyAlignment="1">
      <alignment horizontal="center" vertical="center" wrapText="1"/>
    </xf>
    <xf numFmtId="9" fontId="35" fillId="36" borderId="24" xfId="0" applyNumberFormat="1" applyFont="1" applyFill="1" applyBorder="1" applyAlignment="1">
      <alignment horizontal="center" vertical="center" wrapText="1"/>
    </xf>
    <xf numFmtId="9" fontId="35" fillId="36" borderId="17" xfId="0" applyNumberFormat="1" applyFont="1" applyFill="1" applyBorder="1" applyAlignment="1">
      <alignment horizontal="center" vertical="center" wrapText="1"/>
    </xf>
    <xf numFmtId="9" fontId="35" fillId="36" borderId="15" xfId="0" applyNumberFormat="1" applyFont="1" applyFill="1" applyBorder="1" applyAlignment="1">
      <alignment horizontal="center" vertical="center" wrapText="1"/>
    </xf>
    <xf numFmtId="9" fontId="35" fillId="36" borderId="26" xfId="0" applyNumberFormat="1" applyFont="1" applyFill="1" applyBorder="1" applyAlignment="1">
      <alignment horizontal="center" vertical="center" wrapText="1"/>
    </xf>
    <xf numFmtId="0" fontId="48" fillId="2" borderId="20" xfId="0" applyFont="1" applyFill="1" applyBorder="1" applyAlignment="1">
      <alignment horizontal="center" vertical="center" wrapText="1"/>
    </xf>
    <xf numFmtId="0" fontId="48" fillId="2" borderId="21" xfId="0" applyFont="1" applyFill="1" applyBorder="1" applyAlignment="1">
      <alignment horizontal="center" vertical="center" wrapText="1"/>
    </xf>
    <xf numFmtId="0" fontId="48" fillId="2" borderId="22" xfId="0" applyFont="1" applyFill="1" applyBorder="1" applyAlignment="1">
      <alignment horizontal="center" vertical="center" wrapText="1"/>
    </xf>
    <xf numFmtId="0" fontId="36" fillId="36" borderId="20" xfId="0" applyFont="1" applyFill="1" applyBorder="1" applyAlignment="1">
      <alignment horizontal="center" vertical="center" wrapText="1"/>
    </xf>
    <xf numFmtId="0" fontId="36" fillId="36" borderId="21" xfId="0" applyFont="1" applyFill="1" applyBorder="1" applyAlignment="1">
      <alignment horizontal="center" vertical="center" wrapText="1"/>
    </xf>
    <xf numFmtId="0" fontId="36" fillId="36" borderId="22" xfId="0" applyFont="1" applyFill="1" applyBorder="1" applyAlignment="1">
      <alignment horizontal="center" vertical="center" wrapText="1"/>
    </xf>
    <xf numFmtId="0" fontId="36" fillId="36" borderId="20" xfId="47" applyFont="1" applyFill="1" applyBorder="1" applyAlignment="1">
      <alignment horizontal="center" vertical="center" wrapText="1"/>
    </xf>
    <xf numFmtId="0" fontId="36" fillId="36" borderId="18" xfId="47" applyFont="1" applyFill="1" applyBorder="1" applyAlignment="1">
      <alignment horizontal="center" vertical="center" wrapText="1"/>
    </xf>
    <xf numFmtId="0" fontId="36" fillId="36" borderId="19" xfId="0" applyFont="1" applyFill="1" applyBorder="1" applyAlignment="1">
      <alignment horizontal="center" vertical="center" wrapText="1"/>
    </xf>
    <xf numFmtId="0" fontId="36" fillId="36" borderId="25" xfId="0" applyFont="1" applyFill="1" applyBorder="1" applyAlignment="1">
      <alignment horizontal="center" vertical="center" wrapText="1"/>
    </xf>
    <xf numFmtId="0" fontId="36" fillId="36" borderId="23" xfId="0" applyFont="1" applyFill="1" applyBorder="1" applyAlignment="1">
      <alignment horizontal="center" vertical="center" wrapText="1"/>
    </xf>
    <xf numFmtId="0" fontId="36" fillId="36" borderId="0" xfId="0" applyFont="1" applyFill="1" applyAlignment="1">
      <alignment horizontal="center" vertical="center" wrapText="1"/>
    </xf>
    <xf numFmtId="0" fontId="36" fillId="36" borderId="24" xfId="0" applyFont="1" applyFill="1" applyBorder="1" applyAlignment="1">
      <alignment horizontal="center" vertical="center" wrapText="1"/>
    </xf>
    <xf numFmtId="0" fontId="36" fillId="36" borderId="17" xfId="0" applyFont="1" applyFill="1" applyBorder="1" applyAlignment="1">
      <alignment horizontal="center" vertical="center" wrapText="1"/>
    </xf>
    <xf numFmtId="0" fontId="36" fillId="36" borderId="15" xfId="0" applyFont="1" applyFill="1" applyBorder="1" applyAlignment="1">
      <alignment horizontal="center" vertical="center" wrapText="1"/>
    </xf>
    <xf numFmtId="0" fontId="36" fillId="36" borderId="26" xfId="0" applyFont="1" applyFill="1" applyBorder="1" applyAlignment="1">
      <alignment horizontal="center" vertical="center" wrapText="1"/>
    </xf>
    <xf numFmtId="9" fontId="49" fillId="36" borderId="20" xfId="0" applyNumberFormat="1" applyFont="1" applyFill="1" applyBorder="1" applyAlignment="1">
      <alignment horizontal="left" vertical="top" wrapText="1"/>
    </xf>
    <xf numFmtId="9" fontId="49" fillId="36" borderId="21" xfId="0" applyNumberFormat="1" applyFont="1" applyFill="1" applyBorder="1" applyAlignment="1">
      <alignment horizontal="left" vertical="top" wrapText="1"/>
    </xf>
    <xf numFmtId="9" fontId="49" fillId="36" borderId="22" xfId="0" applyNumberFormat="1" applyFont="1" applyFill="1" applyBorder="1" applyAlignment="1">
      <alignment horizontal="left" vertical="top" wrapText="1"/>
    </xf>
    <xf numFmtId="0" fontId="34" fillId="2" borderId="22" xfId="0" applyFont="1" applyFill="1" applyBorder="1" applyAlignment="1">
      <alignment horizontal="center" vertical="center" wrapText="1"/>
    </xf>
    <xf numFmtId="166" fontId="28" fillId="36" borderId="20" xfId="47" applyNumberFormat="1" applyFill="1" applyBorder="1" applyAlignment="1">
      <alignment horizontal="center" vertical="center" wrapText="1"/>
    </xf>
    <xf numFmtId="9" fontId="36" fillId="36" borderId="18" xfId="47" applyNumberFormat="1" applyFont="1" applyFill="1" applyBorder="1" applyAlignment="1">
      <alignment horizontal="center" vertical="center" wrapText="1"/>
    </xf>
    <xf numFmtId="9" fontId="36" fillId="36" borderId="19" xfId="0" applyNumberFormat="1" applyFont="1" applyFill="1" applyBorder="1" applyAlignment="1">
      <alignment horizontal="center" vertical="center" wrapText="1"/>
    </xf>
    <xf numFmtId="9" fontId="36" fillId="36" borderId="25" xfId="0" applyNumberFormat="1" applyFont="1" applyFill="1" applyBorder="1" applyAlignment="1">
      <alignment horizontal="center" vertical="center" wrapText="1"/>
    </xf>
    <xf numFmtId="9" fontId="36" fillId="36" borderId="23" xfId="0" applyNumberFormat="1" applyFont="1" applyFill="1" applyBorder="1" applyAlignment="1">
      <alignment horizontal="center" vertical="center" wrapText="1"/>
    </xf>
    <xf numFmtId="9" fontId="36" fillId="36" borderId="0" xfId="0" applyNumberFormat="1" applyFont="1" applyFill="1" applyAlignment="1">
      <alignment horizontal="center" vertical="center" wrapText="1"/>
    </xf>
    <xf numFmtId="9" fontId="36" fillId="36" borderId="24" xfId="0" applyNumberFormat="1" applyFont="1" applyFill="1" applyBorder="1" applyAlignment="1">
      <alignment horizontal="center" vertical="center" wrapText="1"/>
    </xf>
    <xf numFmtId="9" fontId="36" fillId="36" borderId="17" xfId="0" applyNumberFormat="1" applyFont="1" applyFill="1" applyBorder="1" applyAlignment="1">
      <alignment horizontal="center" vertical="center" wrapText="1"/>
    </xf>
    <xf numFmtId="9" fontId="36" fillId="36" borderId="15" xfId="0" applyNumberFormat="1" applyFont="1" applyFill="1" applyBorder="1" applyAlignment="1">
      <alignment horizontal="center" vertical="center" wrapText="1"/>
    </xf>
    <xf numFmtId="9" fontId="36" fillId="36" borderId="26" xfId="0" applyNumberFormat="1" applyFont="1" applyFill="1" applyBorder="1" applyAlignment="1">
      <alignment horizontal="center" vertical="center" wrapText="1"/>
    </xf>
    <xf numFmtId="166" fontId="49" fillId="36" borderId="20" xfId="0" applyNumberFormat="1" applyFont="1" applyFill="1" applyBorder="1" applyAlignment="1">
      <alignment horizontal="center" vertical="center" wrapText="1"/>
    </xf>
    <xf numFmtId="166" fontId="49" fillId="36" borderId="21" xfId="0" applyNumberFormat="1" applyFont="1" applyFill="1" applyBorder="1" applyAlignment="1">
      <alignment horizontal="center" vertical="center" wrapText="1"/>
    </xf>
    <xf numFmtId="166" fontId="49" fillId="36" borderId="22" xfId="0" applyNumberFormat="1" applyFont="1" applyFill="1" applyBorder="1" applyAlignment="1">
      <alignment horizontal="center" vertical="center" wrapText="1"/>
    </xf>
    <xf numFmtId="0" fontId="28" fillId="36" borderId="20" xfId="47" applyFill="1" applyBorder="1" applyAlignment="1">
      <alignment horizontal="center" vertical="center" wrapText="1"/>
    </xf>
    <xf numFmtId="0" fontId="28" fillId="36" borderId="18" xfId="47" applyFill="1" applyBorder="1" applyAlignment="1">
      <alignment horizontal="center" vertical="center" wrapText="1"/>
    </xf>
    <xf numFmtId="9" fontId="47" fillId="36" borderId="20" xfId="0" applyNumberFormat="1" applyFont="1" applyFill="1" applyBorder="1" applyAlignment="1">
      <alignment horizontal="left" vertical="top" wrapText="1"/>
    </xf>
    <xf numFmtId="9" fontId="47" fillId="36" borderId="21" xfId="0" applyNumberFormat="1" applyFont="1" applyFill="1" applyBorder="1" applyAlignment="1">
      <alignment horizontal="left" vertical="top" wrapText="1"/>
    </xf>
    <xf numFmtId="9" fontId="47" fillId="36" borderId="22" xfId="0" applyNumberFormat="1" applyFont="1" applyFill="1" applyBorder="1" applyAlignment="1">
      <alignment horizontal="left" vertical="top" wrapText="1"/>
    </xf>
    <xf numFmtId="9" fontId="28" fillId="36" borderId="18" xfId="47" applyNumberFormat="1" applyFill="1" applyBorder="1" applyAlignment="1">
      <alignment horizontal="center" vertical="center" wrapText="1"/>
    </xf>
    <xf numFmtId="166" fontId="49" fillId="36" borderId="20" xfId="47" applyNumberFormat="1" applyFont="1" applyFill="1" applyBorder="1" applyAlignment="1">
      <alignment horizontal="left" vertical="top" wrapText="1"/>
    </xf>
    <xf numFmtId="166" fontId="49" fillId="36" borderId="21" xfId="0" applyNumberFormat="1" applyFont="1" applyFill="1" applyBorder="1" applyAlignment="1">
      <alignment horizontal="left" vertical="top" wrapText="1"/>
    </xf>
    <xf numFmtId="166" fontId="49" fillId="36" borderId="22" xfId="0" applyNumberFormat="1" applyFont="1" applyFill="1" applyBorder="1" applyAlignment="1">
      <alignment horizontal="left" vertical="top" wrapText="1"/>
    </xf>
  </cellXfs>
  <cellStyles count="48">
    <cellStyle name="20% - Colore 1" xfId="24" builtinId="30" customBuiltin="1"/>
    <cellStyle name="20% - Colore 2" xfId="28" builtinId="34" customBuiltin="1"/>
    <cellStyle name="20% - Colore 3" xfId="32" builtinId="38" customBuiltin="1"/>
    <cellStyle name="20% - Colore 4" xfId="36" builtinId="42" customBuiltin="1"/>
    <cellStyle name="20% - Colore 5" xfId="40" builtinId="46" customBuiltin="1"/>
    <cellStyle name="20% - Colore 6" xfId="44" builtinId="50" customBuiltin="1"/>
    <cellStyle name="40% - Colore 1" xfId="25" builtinId="31" customBuiltin="1"/>
    <cellStyle name="40% - Colore 2" xfId="29" builtinId="35" customBuiltin="1"/>
    <cellStyle name="40% - Colore 3" xfId="33" builtinId="39" customBuiltin="1"/>
    <cellStyle name="40% - Colore 4" xfId="37" builtinId="43" customBuiltin="1"/>
    <cellStyle name="40% - Colore 5" xfId="41" builtinId="47" customBuiltin="1"/>
    <cellStyle name="40% - Colore 6" xfId="45" builtinId="51" customBuiltin="1"/>
    <cellStyle name="60% - Colore 1" xfId="26" builtinId="32" customBuiltin="1"/>
    <cellStyle name="60% - Colore 2" xfId="30" builtinId="36" customBuiltin="1"/>
    <cellStyle name="60% - Colore 3" xfId="34" builtinId="40" customBuiltin="1"/>
    <cellStyle name="60% - Colore 4" xfId="38" builtinId="44" customBuiltin="1"/>
    <cellStyle name="60% - Colore 5" xfId="42" builtinId="48" customBuiltin="1"/>
    <cellStyle name="60% - Colore 6" xfId="46" builtinId="52" customBuiltin="1"/>
    <cellStyle name="Calcolo" xfId="16" builtinId="22" customBuiltin="1"/>
    <cellStyle name="Cella collegata" xfId="17" builtinId="24" customBuiltin="1"/>
    <cellStyle name="Cella da controllare" xfId="18" builtinId="23" customBuiltin="1"/>
    <cellStyle name="Collegamento ipertestuale" xfId="47" builtinId="8"/>
    <cellStyle name="Colore 1" xfId="23" builtinId="29" customBuiltin="1"/>
    <cellStyle name="Colore 2" xfId="27" builtinId="33" customBuiltin="1"/>
    <cellStyle name="Colore 3" xfId="31" builtinId="37" customBuiltin="1"/>
    <cellStyle name="Colore 4" xfId="35" builtinId="41" customBuiltin="1"/>
    <cellStyle name="Colore 5" xfId="39" builtinId="45" customBuiltin="1"/>
    <cellStyle name="Colore 6" xfId="43" builtinId="49" customBuiltin="1"/>
    <cellStyle name="Input" xfId="14" builtinId="20" customBuiltin="1"/>
    <cellStyle name="Migliaia" xfId="1" builtinId="3" customBuiltin="1"/>
    <cellStyle name="Migliaia [0]" xfId="2" builtinId="6" customBuiltin="1"/>
    <cellStyle name="Neutrale" xfId="13" builtinId="28" customBuiltin="1"/>
    <cellStyle name="Normale" xfId="0" builtinId="0" customBuiltin="1"/>
    <cellStyle name="Nota" xfId="20" builtinId="10" customBuiltin="1"/>
    <cellStyle name="Output" xfId="15" builtinId="21" customBuiltin="1"/>
    <cellStyle name="Percentuale" xfId="5" builtinId="5" customBuiltin="1"/>
    <cellStyle name="Testo avviso" xfId="19" builtinId="11" customBuiltin="1"/>
    <cellStyle name="Testo descrittivo" xfId="21" builtinId="53" customBuiltin="1"/>
    <cellStyle name="Titolo" xfId="6" builtinId="15" customBuiltin="1"/>
    <cellStyle name="Titolo 1" xfId="7" builtinId="16" customBuiltin="1"/>
    <cellStyle name="Titolo 2" xfId="8" builtinId="17" customBuiltin="1"/>
    <cellStyle name="Titolo 3" xfId="9" builtinId="18" customBuiltin="1"/>
    <cellStyle name="Titolo 4" xfId="10" builtinId="19" customBuiltin="1"/>
    <cellStyle name="Totale" xfId="22" builtinId="25" customBuiltin="1"/>
    <cellStyle name="Valore non valido" xfId="12" builtinId="27" customBuiltin="1"/>
    <cellStyle name="Valore valido" xfId="11" builtinId="26" customBuiltin="1"/>
    <cellStyle name="Valuta" xfId="3" builtinId="4" customBuiltin="1"/>
    <cellStyle name="Valuta [0]" xfId="4" builtinId="7" customBuiltin="1"/>
  </cellStyles>
  <dxfs count="23">
    <dxf>
      <numFmt numFmtId="166" formatCode="mmmm\ 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3" formatCode="0%"/>
      <fill>
        <patternFill patternType="solid">
          <fgColor indexed="64"/>
          <bgColor theme="3" tint="0.79998168889431442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3" formatCode="0%"/>
      <fill>
        <patternFill patternType="solid">
          <fgColor indexed="64"/>
          <bgColor theme="3" tint="0.79998168889431442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3" formatCode="0%"/>
      <fill>
        <patternFill patternType="solid">
          <fgColor indexed="64"/>
          <bgColor theme="3" tint="0.79998168889431442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3" formatCode="0%"/>
      <fill>
        <patternFill patternType="solid">
          <fgColor indexed="64"/>
          <bgColor theme="3" tint="0.79998168889431442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3" formatCode="0%"/>
      <fill>
        <patternFill patternType="solid">
          <fgColor indexed="64"/>
          <bgColor theme="3" tint="0.79998168889431442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3" formatCode="0%"/>
      <fill>
        <patternFill patternType="solid">
          <fgColor indexed="64"/>
          <bgColor theme="3" tint="0.79998168889431442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3" formatCode="0%"/>
      <fill>
        <patternFill patternType="solid">
          <fgColor indexed="64"/>
          <bgColor theme="3" tint="0.79998168889431442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3" formatCode="0%"/>
      <fill>
        <patternFill patternType="solid">
          <fgColor indexed="64"/>
          <bgColor theme="3" tint="0.79998168889431442"/>
        </patternFill>
      </fill>
      <alignment horizontal="left" vertical="center" textRotation="0" wrapText="0" indent="1" justifyLastLine="0" shrinkToFit="0" readingOrder="0"/>
    </dxf>
    <dxf>
      <numFmt numFmtId="168" formatCode="&quot;€&quot;\ 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1" justifyLastLine="0" shrinkToFit="0" readingOrder="0"/>
    </dxf>
    <dxf>
      <border>
        <bottom style="medium">
          <color rgb="FF000000"/>
        </bottom>
      </border>
    </dxf>
    <dxf>
      <font>
        <strike val="0"/>
        <outline val="0"/>
        <shadow val="0"/>
        <u val="none"/>
        <vertAlign val="baseline"/>
        <sz val="14"/>
        <color theme="1"/>
        <name val="Segoe UI"/>
        <family val="2"/>
      </font>
      <fill>
        <patternFill patternType="solid">
          <fgColor indexed="64"/>
          <bgColor theme="3" tint="0.39997558519241921"/>
        </patternFill>
      </fill>
      <alignment horizontal="left" vertical="center" textRotation="0" wrapText="1" indent="1" justifyLastLine="0" shrinkToFit="0" readingOrder="0"/>
      <border diagonalUp="0" diagonalDown="0">
        <left/>
        <right/>
        <top/>
        <bottom/>
        <vertical/>
        <horizontal/>
      </border>
    </dxf>
    <dxf>
      <font>
        <b/>
        <i val="0"/>
        <strike val="0"/>
        <color theme="0"/>
      </font>
      <fill>
        <patternFill>
          <bgColor theme="8" tint="-0.24994659260841701"/>
        </patternFill>
      </fill>
      <border>
        <left style="thin">
          <color theme="8" tint="0.39994506668294322"/>
        </left>
        <right style="thin">
          <color theme="8" tint="0.39994506668294322"/>
        </right>
      </border>
    </dxf>
    <dxf>
      <fill>
        <patternFill>
          <fgColor theme="8" tint="0.79998168889431442"/>
          <bgColor theme="8" tint="0.79995117038483843"/>
        </patternFill>
      </fill>
      <border>
        <left style="thin">
          <color theme="8" tint="0.39994506668294322"/>
        </left>
        <right style="thin">
          <color theme="8" tint="0.39994506668294322"/>
        </right>
        <top style="thin">
          <color theme="8" tint="0.39994506668294322"/>
        </top>
        <bottom style="thin">
          <color theme="8" tint="0.39994506668294322"/>
        </bottom>
        <vertical style="thin">
          <color theme="8" tint="0.59996337778862885"/>
        </vertical>
        <horizontal style="thin">
          <color theme="8" tint="0.39994506668294322"/>
        </horizontal>
      </border>
    </dxf>
    <dxf>
      <fill>
        <patternFill>
          <bgColor theme="5" tint="0.59996337778862885"/>
        </patternFill>
      </fill>
    </dxf>
    <dxf>
      <font>
        <b/>
        <i val="0"/>
        <strike val="0"/>
        <color auto="1"/>
      </font>
      <fill>
        <patternFill>
          <bgColor theme="5"/>
        </patternFill>
      </fill>
      <border diagonalUp="0" diagonalDown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 tint="0.39994506668294322"/>
        </vertical>
        <horizontal/>
      </border>
    </dxf>
    <dxf>
      <fill>
        <patternFill>
          <bgColor theme="5" tint="0.79998168889431442"/>
        </patternFill>
      </fill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  <vertical style="thin">
          <color theme="5" tint="0.59996337778862885"/>
        </vertical>
        <horizontal style="thin">
          <color theme="5"/>
        </horizontal>
      </border>
    </dxf>
    <dxf>
      <fill>
        <patternFill>
          <bgColor theme="3" tint="0.59996337778862885"/>
        </patternFill>
      </fill>
    </dxf>
    <dxf>
      <font>
        <b/>
        <i val="0"/>
        <strike val="0"/>
        <color auto="1"/>
      </font>
      <fill>
        <patternFill>
          <bgColor theme="3"/>
        </pattern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3" tint="0.59996337778862885"/>
        </vertical>
        <horizontal style="thin">
          <color theme="3"/>
        </horizontal>
      </border>
    </dxf>
    <dxf>
      <fill>
        <patternFill>
          <bgColor theme="3" tint="0.79998168889431442"/>
        </patternFill>
      </fill>
      <border>
        <left style="thin">
          <color theme="3" tint="0.39994506668294322"/>
        </left>
        <right style="thin">
          <color theme="3" tint="0.39994506668294322"/>
        </right>
        <top style="thin">
          <color theme="3" tint="0.39994506668294322"/>
        </top>
        <bottom style="thin">
          <color theme="3" tint="0.39994506668294322"/>
        </bottom>
        <vertical style="thin">
          <color theme="3" tint="0.39994506668294322"/>
        </vertical>
        <horizontal style="thin">
          <color theme="3" tint="0.39994506668294322"/>
        </horizontal>
      </border>
    </dxf>
  </dxfs>
  <tableStyles count="3" defaultTableStyle="TableStyleMedium2" defaultPivotStyle="PivotStyleLight16">
    <tableStyle name="Tabella aziendale" pivot="0" count="3" xr9:uid="{00000000-0011-0000-FFFF-FFFF00000000}">
      <tableStyleElement type="wholeTable" dxfId="22"/>
      <tableStyleElement type="headerRow" dxfId="21"/>
      <tableStyleElement type="firstRowStripe" dxfId="20"/>
    </tableStyle>
    <tableStyle name="Tabella aziendale 2" pivot="0" count="3" xr9:uid="{EC16AD97-CC06-4854-B6B9-C3DC5FE314F8}">
      <tableStyleElement type="wholeTable" dxfId="19"/>
      <tableStyleElement type="headerRow" dxfId="18"/>
      <tableStyleElement type="firstRowStripe" dxfId="17"/>
    </tableStyle>
    <tableStyle name="Tabella aziendale 3" pivot="0" count="2" xr9:uid="{B5BE6664-42DE-4ECE-940D-F9998055B77A}">
      <tableStyleElement type="wholeTable" dxfId="16"/>
      <tableStyleElement type="headerRow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800" b="1">
                <a:solidFill>
                  <a:schemeClr val="tx1"/>
                </a:solidFill>
              </a:rPr>
              <a:t>Indice di intensità digitale delle imprese con più di dieci dipendenti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Very Low Digital Intensity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Pt>
            <c:idx val="27"/>
            <c:invertIfNegative val="0"/>
            <c:bubble3D val="0"/>
            <c:spPr>
              <a:solidFill>
                <a:srgbClr val="FF0000"/>
              </a:solidFill>
              <a:ln w="254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DEE-45D2-9911-5FB732832E7C}"/>
              </c:ext>
            </c:extLst>
          </c:dPt>
          <c:cat>
            <c:strRef>
              <c:f>'Analisi Comparativa EU'!$B$7:$B$34</c:f>
              <c:strCache>
                <c:ptCount val="28"/>
                <c:pt idx="0">
                  <c:v>AUSTRIA</c:v>
                </c:pt>
                <c:pt idx="1">
                  <c:v>BELGIO</c:v>
                </c:pt>
                <c:pt idx="2">
                  <c:v>BULGARIA</c:v>
                </c:pt>
                <c:pt idx="3">
                  <c:v>CECHIA</c:v>
                </c:pt>
                <c:pt idx="4">
                  <c:v>CIPRO</c:v>
                </c:pt>
                <c:pt idx="5">
                  <c:v>CROAZIA</c:v>
                </c:pt>
                <c:pt idx="6">
                  <c:v>DANIMARCA</c:v>
                </c:pt>
                <c:pt idx="7">
                  <c:v>ESTONIA</c:v>
                </c:pt>
                <c:pt idx="8">
                  <c:v>FINLANDIA</c:v>
                </c:pt>
                <c:pt idx="9">
                  <c:v>FRANCIA</c:v>
                </c:pt>
                <c:pt idx="10">
                  <c:v>GERMANIA</c:v>
                </c:pt>
                <c:pt idx="11">
                  <c:v>GRECIA</c:v>
                </c:pt>
                <c:pt idx="12">
                  <c:v>IRLANDA</c:v>
                </c:pt>
                <c:pt idx="13">
                  <c:v>ITALIA</c:v>
                </c:pt>
                <c:pt idx="14">
                  <c:v>LETTONIA</c:v>
                </c:pt>
                <c:pt idx="15">
                  <c:v>LITUANIA</c:v>
                </c:pt>
                <c:pt idx="16">
                  <c:v>LUSSEMBURGO</c:v>
                </c:pt>
                <c:pt idx="17">
                  <c:v>MALTA</c:v>
                </c:pt>
                <c:pt idx="18">
                  <c:v>PAESI BASSI</c:v>
                </c:pt>
                <c:pt idx="19">
                  <c:v>POLONIA</c:v>
                </c:pt>
                <c:pt idx="20">
                  <c:v>PORTOGALLO</c:v>
                </c:pt>
                <c:pt idx="21">
                  <c:v>ROMANIA</c:v>
                </c:pt>
                <c:pt idx="22">
                  <c:v>SLOVACCHIA</c:v>
                </c:pt>
                <c:pt idx="23">
                  <c:v>SLOVENIA</c:v>
                </c:pt>
                <c:pt idx="24">
                  <c:v>SPAGNA</c:v>
                </c:pt>
                <c:pt idx="25">
                  <c:v>SVEZIA</c:v>
                </c:pt>
                <c:pt idx="26">
                  <c:v>UNGHERIA</c:v>
                </c:pt>
                <c:pt idx="27">
                  <c:v>EUROPA</c:v>
                </c:pt>
              </c:strCache>
            </c:strRef>
          </c:cat>
          <c:val>
            <c:numRef>
              <c:f>'Analisi Comparativa EU'!$F$7:$F$34</c:f>
              <c:numCache>
                <c:formatCode>0.00</c:formatCode>
                <c:ptCount val="28"/>
                <c:pt idx="0">
                  <c:v>26.97</c:v>
                </c:pt>
                <c:pt idx="1">
                  <c:v>15.7</c:v>
                </c:pt>
                <c:pt idx="2">
                  <c:v>49.06</c:v>
                </c:pt>
                <c:pt idx="3">
                  <c:v>28.15</c:v>
                </c:pt>
                <c:pt idx="4">
                  <c:v>25.16</c:v>
                </c:pt>
                <c:pt idx="5">
                  <c:v>35.659999999999997</c:v>
                </c:pt>
                <c:pt idx="6">
                  <c:v>9.24</c:v>
                </c:pt>
                <c:pt idx="7">
                  <c:v>28.14</c:v>
                </c:pt>
                <c:pt idx="8">
                  <c:v>7.24</c:v>
                </c:pt>
                <c:pt idx="9">
                  <c:v>30.69</c:v>
                </c:pt>
                <c:pt idx="10">
                  <c:v>19.489999999999998</c:v>
                </c:pt>
                <c:pt idx="11">
                  <c:v>45.95</c:v>
                </c:pt>
                <c:pt idx="12">
                  <c:v>25.87</c:v>
                </c:pt>
                <c:pt idx="13">
                  <c:v>29.28</c:v>
                </c:pt>
                <c:pt idx="14">
                  <c:v>39.9</c:v>
                </c:pt>
                <c:pt idx="15">
                  <c:v>32.700000000000003</c:v>
                </c:pt>
                <c:pt idx="16">
                  <c:v>28.73</c:v>
                </c:pt>
                <c:pt idx="17">
                  <c:v>18.28</c:v>
                </c:pt>
                <c:pt idx="18">
                  <c:v>18.54</c:v>
                </c:pt>
                <c:pt idx="19">
                  <c:v>29.99</c:v>
                </c:pt>
                <c:pt idx="20">
                  <c:v>25.21</c:v>
                </c:pt>
                <c:pt idx="21">
                  <c:v>30.11</c:v>
                </c:pt>
                <c:pt idx="22">
                  <c:v>35.78</c:v>
                </c:pt>
                <c:pt idx="23">
                  <c:v>31.49</c:v>
                </c:pt>
                <c:pt idx="24">
                  <c:v>25.19</c:v>
                </c:pt>
                <c:pt idx="25">
                  <c:v>12.98</c:v>
                </c:pt>
                <c:pt idx="26">
                  <c:v>41.53</c:v>
                </c:pt>
                <c:pt idx="27">
                  <c:v>27.667777777777783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EE-45D2-9911-5FB732832E7C}"/>
            </c:ext>
          </c:extLst>
        </c:ser>
        <c:ser>
          <c:idx val="1"/>
          <c:order val="1"/>
          <c:tx>
            <c:v>Low Digital Intensity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27"/>
            <c:invertIfNegative val="0"/>
            <c:bubble3D val="0"/>
            <c:spPr>
              <a:solidFill>
                <a:schemeClr val="accent2"/>
              </a:solidFill>
              <a:ln w="254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4DEE-45D2-9911-5FB732832E7C}"/>
              </c:ext>
            </c:extLst>
          </c:dPt>
          <c:cat>
            <c:strRef>
              <c:f>'Analisi Comparativa EU'!$B$7:$B$34</c:f>
              <c:strCache>
                <c:ptCount val="28"/>
                <c:pt idx="0">
                  <c:v>AUSTRIA</c:v>
                </c:pt>
                <c:pt idx="1">
                  <c:v>BELGIO</c:v>
                </c:pt>
                <c:pt idx="2">
                  <c:v>BULGARIA</c:v>
                </c:pt>
                <c:pt idx="3">
                  <c:v>CECHIA</c:v>
                </c:pt>
                <c:pt idx="4">
                  <c:v>CIPRO</c:v>
                </c:pt>
                <c:pt idx="5">
                  <c:v>CROAZIA</c:v>
                </c:pt>
                <c:pt idx="6">
                  <c:v>DANIMARCA</c:v>
                </c:pt>
                <c:pt idx="7">
                  <c:v>ESTONIA</c:v>
                </c:pt>
                <c:pt idx="8">
                  <c:v>FINLANDIA</c:v>
                </c:pt>
                <c:pt idx="9">
                  <c:v>FRANCIA</c:v>
                </c:pt>
                <c:pt idx="10">
                  <c:v>GERMANIA</c:v>
                </c:pt>
                <c:pt idx="11">
                  <c:v>GRECIA</c:v>
                </c:pt>
                <c:pt idx="12">
                  <c:v>IRLANDA</c:v>
                </c:pt>
                <c:pt idx="13">
                  <c:v>ITALIA</c:v>
                </c:pt>
                <c:pt idx="14">
                  <c:v>LETTONIA</c:v>
                </c:pt>
                <c:pt idx="15">
                  <c:v>LITUANIA</c:v>
                </c:pt>
                <c:pt idx="16">
                  <c:v>LUSSEMBURGO</c:v>
                </c:pt>
                <c:pt idx="17">
                  <c:v>MALTA</c:v>
                </c:pt>
                <c:pt idx="18">
                  <c:v>PAESI BASSI</c:v>
                </c:pt>
                <c:pt idx="19">
                  <c:v>POLONIA</c:v>
                </c:pt>
                <c:pt idx="20">
                  <c:v>PORTOGALLO</c:v>
                </c:pt>
                <c:pt idx="21">
                  <c:v>ROMANIA</c:v>
                </c:pt>
                <c:pt idx="22">
                  <c:v>SLOVACCHIA</c:v>
                </c:pt>
                <c:pt idx="23">
                  <c:v>SLOVENIA</c:v>
                </c:pt>
                <c:pt idx="24">
                  <c:v>SPAGNA</c:v>
                </c:pt>
                <c:pt idx="25">
                  <c:v>SVEZIA</c:v>
                </c:pt>
                <c:pt idx="26">
                  <c:v>UNGHERIA</c:v>
                </c:pt>
                <c:pt idx="27">
                  <c:v>EUROPA</c:v>
                </c:pt>
              </c:strCache>
            </c:strRef>
          </c:cat>
          <c:val>
            <c:numRef>
              <c:f>'Analisi Comparativa EU'!$G$7:$G$34</c:f>
              <c:numCache>
                <c:formatCode>0.00</c:formatCode>
                <c:ptCount val="28"/>
                <c:pt idx="0">
                  <c:v>36.89</c:v>
                </c:pt>
                <c:pt idx="1">
                  <c:v>35.14</c:v>
                </c:pt>
                <c:pt idx="2">
                  <c:v>33.35</c:v>
                </c:pt>
                <c:pt idx="3">
                  <c:v>37.08</c:v>
                </c:pt>
                <c:pt idx="4">
                  <c:v>36.43</c:v>
                </c:pt>
                <c:pt idx="5">
                  <c:v>35.28</c:v>
                </c:pt>
                <c:pt idx="6">
                  <c:v>31.63</c:v>
                </c:pt>
                <c:pt idx="7">
                  <c:v>35.14</c:v>
                </c:pt>
                <c:pt idx="8">
                  <c:v>30.54</c:v>
                </c:pt>
                <c:pt idx="9">
                  <c:v>46.03</c:v>
                </c:pt>
                <c:pt idx="10">
                  <c:v>38.9</c:v>
                </c:pt>
                <c:pt idx="11">
                  <c:v>34.56</c:v>
                </c:pt>
                <c:pt idx="12">
                  <c:v>33.01</c:v>
                </c:pt>
                <c:pt idx="13">
                  <c:v>43.48</c:v>
                </c:pt>
                <c:pt idx="14">
                  <c:v>32.74</c:v>
                </c:pt>
                <c:pt idx="15">
                  <c:v>37.92</c:v>
                </c:pt>
                <c:pt idx="16">
                  <c:v>35.71</c:v>
                </c:pt>
                <c:pt idx="17">
                  <c:v>33.6</c:v>
                </c:pt>
                <c:pt idx="18">
                  <c:v>35.56</c:v>
                </c:pt>
                <c:pt idx="19">
                  <c:v>36.79</c:v>
                </c:pt>
                <c:pt idx="20">
                  <c:v>36.700000000000003</c:v>
                </c:pt>
                <c:pt idx="21">
                  <c:v>46.89</c:v>
                </c:pt>
                <c:pt idx="22">
                  <c:v>35.520000000000003</c:v>
                </c:pt>
                <c:pt idx="23">
                  <c:v>35</c:v>
                </c:pt>
                <c:pt idx="24">
                  <c:v>41.46</c:v>
                </c:pt>
                <c:pt idx="25">
                  <c:v>31.68</c:v>
                </c:pt>
                <c:pt idx="26">
                  <c:v>34.58</c:v>
                </c:pt>
                <c:pt idx="27">
                  <c:v>36.355925925925924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DEE-45D2-9911-5FB732832E7C}"/>
            </c:ext>
          </c:extLst>
        </c:ser>
        <c:ser>
          <c:idx val="2"/>
          <c:order val="2"/>
          <c:tx>
            <c:v>High Digital Intensity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27"/>
            <c:invertIfNegative val="0"/>
            <c:bubble3D val="0"/>
            <c:spPr>
              <a:solidFill>
                <a:schemeClr val="accent1"/>
              </a:solidFill>
              <a:ln w="254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DEE-45D2-9911-5FB732832E7C}"/>
              </c:ext>
            </c:extLst>
          </c:dPt>
          <c:cat>
            <c:strRef>
              <c:f>'Analisi Comparativa EU'!$B$7:$B$34</c:f>
              <c:strCache>
                <c:ptCount val="28"/>
                <c:pt idx="0">
                  <c:v>AUSTRIA</c:v>
                </c:pt>
                <c:pt idx="1">
                  <c:v>BELGIO</c:v>
                </c:pt>
                <c:pt idx="2">
                  <c:v>BULGARIA</c:v>
                </c:pt>
                <c:pt idx="3">
                  <c:v>CECHIA</c:v>
                </c:pt>
                <c:pt idx="4">
                  <c:v>CIPRO</c:v>
                </c:pt>
                <c:pt idx="5">
                  <c:v>CROAZIA</c:v>
                </c:pt>
                <c:pt idx="6">
                  <c:v>DANIMARCA</c:v>
                </c:pt>
                <c:pt idx="7">
                  <c:v>ESTONIA</c:v>
                </c:pt>
                <c:pt idx="8">
                  <c:v>FINLANDIA</c:v>
                </c:pt>
                <c:pt idx="9">
                  <c:v>FRANCIA</c:v>
                </c:pt>
                <c:pt idx="10">
                  <c:v>GERMANIA</c:v>
                </c:pt>
                <c:pt idx="11">
                  <c:v>GRECIA</c:v>
                </c:pt>
                <c:pt idx="12">
                  <c:v>IRLANDA</c:v>
                </c:pt>
                <c:pt idx="13">
                  <c:v>ITALIA</c:v>
                </c:pt>
                <c:pt idx="14">
                  <c:v>LETTONIA</c:v>
                </c:pt>
                <c:pt idx="15">
                  <c:v>LITUANIA</c:v>
                </c:pt>
                <c:pt idx="16">
                  <c:v>LUSSEMBURGO</c:v>
                </c:pt>
                <c:pt idx="17">
                  <c:v>MALTA</c:v>
                </c:pt>
                <c:pt idx="18">
                  <c:v>PAESI BASSI</c:v>
                </c:pt>
                <c:pt idx="19">
                  <c:v>POLONIA</c:v>
                </c:pt>
                <c:pt idx="20">
                  <c:v>PORTOGALLO</c:v>
                </c:pt>
                <c:pt idx="21">
                  <c:v>ROMANIA</c:v>
                </c:pt>
                <c:pt idx="22">
                  <c:v>SLOVACCHIA</c:v>
                </c:pt>
                <c:pt idx="23">
                  <c:v>SLOVENIA</c:v>
                </c:pt>
                <c:pt idx="24">
                  <c:v>SPAGNA</c:v>
                </c:pt>
                <c:pt idx="25">
                  <c:v>SVEZIA</c:v>
                </c:pt>
                <c:pt idx="26">
                  <c:v>UNGHERIA</c:v>
                </c:pt>
                <c:pt idx="27">
                  <c:v>EUROPA</c:v>
                </c:pt>
              </c:strCache>
            </c:strRef>
          </c:cat>
          <c:val>
            <c:numRef>
              <c:f>'Analisi Comparativa EU'!$H$7:$H$34</c:f>
              <c:numCache>
                <c:formatCode>0.00</c:formatCode>
                <c:ptCount val="28"/>
                <c:pt idx="0">
                  <c:v>28.24</c:v>
                </c:pt>
                <c:pt idx="1">
                  <c:v>34.340000000000003</c:v>
                </c:pt>
                <c:pt idx="2">
                  <c:v>14.82</c:v>
                </c:pt>
                <c:pt idx="3">
                  <c:v>27.49</c:v>
                </c:pt>
                <c:pt idx="4">
                  <c:v>30.61</c:v>
                </c:pt>
                <c:pt idx="5">
                  <c:v>21.3</c:v>
                </c:pt>
                <c:pt idx="6">
                  <c:v>41.07</c:v>
                </c:pt>
                <c:pt idx="7">
                  <c:v>28.78</c:v>
                </c:pt>
                <c:pt idx="8">
                  <c:v>42.64</c:v>
                </c:pt>
                <c:pt idx="9">
                  <c:v>19.95</c:v>
                </c:pt>
                <c:pt idx="10">
                  <c:v>31.93</c:v>
                </c:pt>
                <c:pt idx="11">
                  <c:v>16.32</c:v>
                </c:pt>
                <c:pt idx="12">
                  <c:v>29.09</c:v>
                </c:pt>
                <c:pt idx="13">
                  <c:v>23.34</c:v>
                </c:pt>
                <c:pt idx="14">
                  <c:v>22.04</c:v>
                </c:pt>
                <c:pt idx="15">
                  <c:v>23.7</c:v>
                </c:pt>
                <c:pt idx="16">
                  <c:v>28.24</c:v>
                </c:pt>
                <c:pt idx="17">
                  <c:v>34.36</c:v>
                </c:pt>
                <c:pt idx="18">
                  <c:v>33.770000000000003</c:v>
                </c:pt>
                <c:pt idx="19">
                  <c:v>27.32</c:v>
                </c:pt>
                <c:pt idx="20">
                  <c:v>30.24</c:v>
                </c:pt>
                <c:pt idx="21">
                  <c:v>20.48</c:v>
                </c:pt>
                <c:pt idx="22">
                  <c:v>23.77</c:v>
                </c:pt>
                <c:pt idx="23">
                  <c:v>25.6</c:v>
                </c:pt>
                <c:pt idx="24">
                  <c:v>26.63</c:v>
                </c:pt>
                <c:pt idx="25">
                  <c:v>41.45</c:v>
                </c:pt>
                <c:pt idx="26">
                  <c:v>19.68</c:v>
                </c:pt>
                <c:pt idx="27">
                  <c:v>27.674074074074074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DEE-45D2-9911-5FB732832E7C}"/>
            </c:ext>
          </c:extLst>
        </c:ser>
        <c:ser>
          <c:idx val="3"/>
          <c:order val="3"/>
          <c:tx>
            <c:v>Very High Digital Intensity</c:v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27"/>
            <c:invertIfNegative val="0"/>
            <c:bubble3D val="0"/>
            <c:spPr>
              <a:solidFill>
                <a:srgbClr val="00B050"/>
              </a:solidFill>
              <a:ln w="254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4DEE-45D2-9911-5FB732832E7C}"/>
              </c:ext>
            </c:extLst>
          </c:dPt>
          <c:cat>
            <c:strRef>
              <c:f>'Analisi Comparativa EU'!$B$7:$B$34</c:f>
              <c:strCache>
                <c:ptCount val="28"/>
                <c:pt idx="0">
                  <c:v>AUSTRIA</c:v>
                </c:pt>
                <c:pt idx="1">
                  <c:v>BELGIO</c:v>
                </c:pt>
                <c:pt idx="2">
                  <c:v>BULGARIA</c:v>
                </c:pt>
                <c:pt idx="3">
                  <c:v>CECHIA</c:v>
                </c:pt>
                <c:pt idx="4">
                  <c:v>CIPRO</c:v>
                </c:pt>
                <c:pt idx="5">
                  <c:v>CROAZIA</c:v>
                </c:pt>
                <c:pt idx="6">
                  <c:v>DANIMARCA</c:v>
                </c:pt>
                <c:pt idx="7">
                  <c:v>ESTONIA</c:v>
                </c:pt>
                <c:pt idx="8">
                  <c:v>FINLANDIA</c:v>
                </c:pt>
                <c:pt idx="9">
                  <c:v>FRANCIA</c:v>
                </c:pt>
                <c:pt idx="10">
                  <c:v>GERMANIA</c:v>
                </c:pt>
                <c:pt idx="11">
                  <c:v>GRECIA</c:v>
                </c:pt>
                <c:pt idx="12">
                  <c:v>IRLANDA</c:v>
                </c:pt>
                <c:pt idx="13">
                  <c:v>ITALIA</c:v>
                </c:pt>
                <c:pt idx="14">
                  <c:v>LETTONIA</c:v>
                </c:pt>
                <c:pt idx="15">
                  <c:v>LITUANIA</c:v>
                </c:pt>
                <c:pt idx="16">
                  <c:v>LUSSEMBURGO</c:v>
                </c:pt>
                <c:pt idx="17">
                  <c:v>MALTA</c:v>
                </c:pt>
                <c:pt idx="18">
                  <c:v>PAESI BASSI</c:v>
                </c:pt>
                <c:pt idx="19">
                  <c:v>POLONIA</c:v>
                </c:pt>
                <c:pt idx="20">
                  <c:v>PORTOGALLO</c:v>
                </c:pt>
                <c:pt idx="21">
                  <c:v>ROMANIA</c:v>
                </c:pt>
                <c:pt idx="22">
                  <c:v>SLOVACCHIA</c:v>
                </c:pt>
                <c:pt idx="23">
                  <c:v>SLOVENIA</c:v>
                </c:pt>
                <c:pt idx="24">
                  <c:v>SPAGNA</c:v>
                </c:pt>
                <c:pt idx="25">
                  <c:v>SVEZIA</c:v>
                </c:pt>
                <c:pt idx="26">
                  <c:v>UNGHERIA</c:v>
                </c:pt>
                <c:pt idx="27">
                  <c:v>EUROPA</c:v>
                </c:pt>
              </c:strCache>
            </c:strRef>
          </c:cat>
          <c:val>
            <c:numRef>
              <c:f>'Analisi Comparativa EU'!$I$7:$I$34</c:f>
              <c:numCache>
                <c:formatCode>0.00</c:formatCode>
                <c:ptCount val="28"/>
                <c:pt idx="0">
                  <c:v>7.9</c:v>
                </c:pt>
                <c:pt idx="1">
                  <c:v>14.82</c:v>
                </c:pt>
                <c:pt idx="2">
                  <c:v>2.77</c:v>
                </c:pt>
                <c:pt idx="3">
                  <c:v>7.29</c:v>
                </c:pt>
                <c:pt idx="4">
                  <c:v>7.81</c:v>
                </c:pt>
                <c:pt idx="5">
                  <c:v>7.76</c:v>
                </c:pt>
                <c:pt idx="6">
                  <c:v>18.059999999999999</c:v>
                </c:pt>
                <c:pt idx="7">
                  <c:v>7.94</c:v>
                </c:pt>
                <c:pt idx="8">
                  <c:v>19.59</c:v>
                </c:pt>
                <c:pt idx="9">
                  <c:v>3.33</c:v>
                </c:pt>
                <c:pt idx="10">
                  <c:v>9.68</c:v>
                </c:pt>
                <c:pt idx="11">
                  <c:v>3.17</c:v>
                </c:pt>
                <c:pt idx="12">
                  <c:v>11.22</c:v>
                </c:pt>
                <c:pt idx="13">
                  <c:v>3.9</c:v>
                </c:pt>
                <c:pt idx="14">
                  <c:v>5.31</c:v>
                </c:pt>
                <c:pt idx="15">
                  <c:v>5.68</c:v>
                </c:pt>
                <c:pt idx="16">
                  <c:v>7.32</c:v>
                </c:pt>
                <c:pt idx="17">
                  <c:v>13.76</c:v>
                </c:pt>
                <c:pt idx="18">
                  <c:v>12.13</c:v>
                </c:pt>
                <c:pt idx="19">
                  <c:v>5.89</c:v>
                </c:pt>
                <c:pt idx="20">
                  <c:v>7.85</c:v>
                </c:pt>
                <c:pt idx="21">
                  <c:v>2.52</c:v>
                </c:pt>
                <c:pt idx="22">
                  <c:v>4.93</c:v>
                </c:pt>
                <c:pt idx="23">
                  <c:v>7.9</c:v>
                </c:pt>
                <c:pt idx="24">
                  <c:v>6.73</c:v>
                </c:pt>
                <c:pt idx="25">
                  <c:v>13.89</c:v>
                </c:pt>
                <c:pt idx="26">
                  <c:v>4.21</c:v>
                </c:pt>
                <c:pt idx="27">
                  <c:v>8.2725925925925914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DEE-45D2-9911-5FB732832E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53681392"/>
        <c:axId val="1653682352"/>
      </c:barChart>
      <c:catAx>
        <c:axId val="165368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53682352"/>
        <c:crosses val="autoZero"/>
        <c:auto val="1"/>
        <c:lblAlgn val="ctr"/>
        <c:lblOffset val="100"/>
        <c:noMultiLvlLbl val="0"/>
      </c:catAx>
      <c:valAx>
        <c:axId val="165368235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53681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800" b="1">
                <a:solidFill>
                  <a:sysClr val="windowText" lastClr="000000"/>
                </a:solidFill>
              </a:rPr>
              <a:t>Quota di strumenti di pagamento utilizzati al POS (solo Area Euro)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Cash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27"/>
            <c:invertIfNegative val="0"/>
            <c:bubble3D val="0"/>
            <c:spPr>
              <a:solidFill>
                <a:schemeClr val="accent1"/>
              </a:solidFill>
              <a:ln w="254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193-49AF-BC4B-D84BFCF0A613}"/>
              </c:ext>
            </c:extLst>
          </c:dPt>
          <c:cat>
            <c:strRef>
              <c:f>'Analisi Comparativa EU'!$B$7:$B$34</c:f>
              <c:strCache>
                <c:ptCount val="28"/>
                <c:pt idx="0">
                  <c:v>AUSTRIA</c:v>
                </c:pt>
                <c:pt idx="1">
                  <c:v>BELGIO</c:v>
                </c:pt>
                <c:pt idx="2">
                  <c:v>BULGARIA</c:v>
                </c:pt>
                <c:pt idx="3">
                  <c:v>CECHIA</c:v>
                </c:pt>
                <c:pt idx="4">
                  <c:v>CIPRO</c:v>
                </c:pt>
                <c:pt idx="5">
                  <c:v>CROAZIA</c:v>
                </c:pt>
                <c:pt idx="6">
                  <c:v>DANIMARCA</c:v>
                </c:pt>
                <c:pt idx="7">
                  <c:v>ESTONIA</c:v>
                </c:pt>
                <c:pt idx="8">
                  <c:v>FINLANDIA</c:v>
                </c:pt>
                <c:pt idx="9">
                  <c:v>FRANCIA</c:v>
                </c:pt>
                <c:pt idx="10">
                  <c:v>GERMANIA</c:v>
                </c:pt>
                <c:pt idx="11">
                  <c:v>GRECIA</c:v>
                </c:pt>
                <c:pt idx="12">
                  <c:v>IRLANDA</c:v>
                </c:pt>
                <c:pt idx="13">
                  <c:v>ITALIA</c:v>
                </c:pt>
                <c:pt idx="14">
                  <c:v>LETTONIA</c:v>
                </c:pt>
                <c:pt idx="15">
                  <c:v>LITUANIA</c:v>
                </c:pt>
                <c:pt idx="16">
                  <c:v>LUSSEMBURGO</c:v>
                </c:pt>
                <c:pt idx="17">
                  <c:v>MALTA</c:v>
                </c:pt>
                <c:pt idx="18">
                  <c:v>PAESI BASSI</c:v>
                </c:pt>
                <c:pt idx="19">
                  <c:v>POLONIA</c:v>
                </c:pt>
                <c:pt idx="20">
                  <c:v>PORTOGALLO</c:v>
                </c:pt>
                <c:pt idx="21">
                  <c:v>ROMANIA</c:v>
                </c:pt>
                <c:pt idx="22">
                  <c:v>SLOVACCHIA</c:v>
                </c:pt>
                <c:pt idx="23">
                  <c:v>SLOVENIA</c:v>
                </c:pt>
                <c:pt idx="24">
                  <c:v>SPAGNA</c:v>
                </c:pt>
                <c:pt idx="25">
                  <c:v>SVEZIA</c:v>
                </c:pt>
                <c:pt idx="26">
                  <c:v>UNGHERIA</c:v>
                </c:pt>
                <c:pt idx="27">
                  <c:v>EUROPA</c:v>
                </c:pt>
              </c:strCache>
            </c:strRef>
          </c:cat>
          <c:val>
            <c:numRef>
              <c:f>'Analisi Comparativa EU'!$P$7:$P$34</c:f>
              <c:numCache>
                <c:formatCode>0%</c:formatCode>
                <c:ptCount val="28"/>
                <c:pt idx="0">
                  <c:v>0.62</c:v>
                </c:pt>
                <c:pt idx="1">
                  <c:v>0.39</c:v>
                </c:pt>
                <c:pt idx="2">
                  <c:v>0</c:v>
                </c:pt>
                <c:pt idx="3">
                  <c:v>0</c:v>
                </c:pt>
                <c:pt idx="4">
                  <c:v>0.48</c:v>
                </c:pt>
                <c:pt idx="5">
                  <c:v>0.55000000000000004</c:v>
                </c:pt>
                <c:pt idx="6">
                  <c:v>0</c:v>
                </c:pt>
                <c:pt idx="7">
                  <c:v>0.39</c:v>
                </c:pt>
                <c:pt idx="8">
                  <c:v>0.27</c:v>
                </c:pt>
                <c:pt idx="9">
                  <c:v>0.43</c:v>
                </c:pt>
                <c:pt idx="10">
                  <c:v>0.53</c:v>
                </c:pt>
                <c:pt idx="11">
                  <c:v>0.54</c:v>
                </c:pt>
                <c:pt idx="12">
                  <c:v>0.49</c:v>
                </c:pt>
                <c:pt idx="13">
                  <c:v>0.61</c:v>
                </c:pt>
                <c:pt idx="14">
                  <c:v>0.45</c:v>
                </c:pt>
                <c:pt idx="15">
                  <c:v>0.54</c:v>
                </c:pt>
                <c:pt idx="16">
                  <c:v>0.37</c:v>
                </c:pt>
                <c:pt idx="17">
                  <c:v>0.67</c:v>
                </c:pt>
                <c:pt idx="18">
                  <c:v>0.22</c:v>
                </c:pt>
                <c:pt idx="19">
                  <c:v>0</c:v>
                </c:pt>
                <c:pt idx="20">
                  <c:v>0.54</c:v>
                </c:pt>
                <c:pt idx="21">
                  <c:v>0</c:v>
                </c:pt>
                <c:pt idx="22">
                  <c:v>0.56999999999999995</c:v>
                </c:pt>
                <c:pt idx="23">
                  <c:v>0.64</c:v>
                </c:pt>
                <c:pt idx="24">
                  <c:v>0.56999999999999995</c:v>
                </c:pt>
                <c:pt idx="25">
                  <c:v>0</c:v>
                </c:pt>
                <c:pt idx="26">
                  <c:v>0</c:v>
                </c:pt>
                <c:pt idx="27">
                  <c:v>0.49350000000000005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93-49AF-BC4B-D84BFCF0A613}"/>
            </c:ext>
          </c:extLst>
        </c:ser>
        <c:ser>
          <c:idx val="1"/>
          <c:order val="1"/>
          <c:tx>
            <c:v>Card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27"/>
            <c:invertIfNegative val="0"/>
            <c:bubble3D val="0"/>
            <c:spPr>
              <a:solidFill>
                <a:schemeClr val="accent2"/>
              </a:solidFill>
              <a:ln w="254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F193-49AF-BC4B-D84BFCF0A613}"/>
              </c:ext>
            </c:extLst>
          </c:dPt>
          <c:cat>
            <c:strRef>
              <c:f>'Analisi Comparativa EU'!$B$7:$B$34</c:f>
              <c:strCache>
                <c:ptCount val="28"/>
                <c:pt idx="0">
                  <c:v>AUSTRIA</c:v>
                </c:pt>
                <c:pt idx="1">
                  <c:v>BELGIO</c:v>
                </c:pt>
                <c:pt idx="2">
                  <c:v>BULGARIA</c:v>
                </c:pt>
                <c:pt idx="3">
                  <c:v>CECHIA</c:v>
                </c:pt>
                <c:pt idx="4">
                  <c:v>CIPRO</c:v>
                </c:pt>
                <c:pt idx="5">
                  <c:v>CROAZIA</c:v>
                </c:pt>
                <c:pt idx="6">
                  <c:v>DANIMARCA</c:v>
                </c:pt>
                <c:pt idx="7">
                  <c:v>ESTONIA</c:v>
                </c:pt>
                <c:pt idx="8">
                  <c:v>FINLANDIA</c:v>
                </c:pt>
                <c:pt idx="9">
                  <c:v>FRANCIA</c:v>
                </c:pt>
                <c:pt idx="10">
                  <c:v>GERMANIA</c:v>
                </c:pt>
                <c:pt idx="11">
                  <c:v>GRECIA</c:v>
                </c:pt>
                <c:pt idx="12">
                  <c:v>IRLANDA</c:v>
                </c:pt>
                <c:pt idx="13">
                  <c:v>ITALIA</c:v>
                </c:pt>
                <c:pt idx="14">
                  <c:v>LETTONIA</c:v>
                </c:pt>
                <c:pt idx="15">
                  <c:v>LITUANIA</c:v>
                </c:pt>
                <c:pt idx="16">
                  <c:v>LUSSEMBURGO</c:v>
                </c:pt>
                <c:pt idx="17">
                  <c:v>MALTA</c:v>
                </c:pt>
                <c:pt idx="18">
                  <c:v>PAESI BASSI</c:v>
                </c:pt>
                <c:pt idx="19">
                  <c:v>POLONIA</c:v>
                </c:pt>
                <c:pt idx="20">
                  <c:v>PORTOGALLO</c:v>
                </c:pt>
                <c:pt idx="21">
                  <c:v>ROMANIA</c:v>
                </c:pt>
                <c:pt idx="22">
                  <c:v>SLOVACCHIA</c:v>
                </c:pt>
                <c:pt idx="23">
                  <c:v>SLOVENIA</c:v>
                </c:pt>
                <c:pt idx="24">
                  <c:v>SPAGNA</c:v>
                </c:pt>
                <c:pt idx="25">
                  <c:v>SVEZIA</c:v>
                </c:pt>
                <c:pt idx="26">
                  <c:v>UNGHERIA</c:v>
                </c:pt>
                <c:pt idx="27">
                  <c:v>EUROPA</c:v>
                </c:pt>
              </c:strCache>
            </c:strRef>
          </c:cat>
          <c:val>
            <c:numRef>
              <c:f>'Analisi Comparativa EU'!$Q$7:$Q$34</c:f>
              <c:numCache>
                <c:formatCode>0%</c:formatCode>
                <c:ptCount val="28"/>
                <c:pt idx="0">
                  <c:v>0.31</c:v>
                </c:pt>
                <c:pt idx="1">
                  <c:v>0.53</c:v>
                </c:pt>
                <c:pt idx="2">
                  <c:v>0</c:v>
                </c:pt>
                <c:pt idx="3">
                  <c:v>0</c:v>
                </c:pt>
                <c:pt idx="4">
                  <c:v>0.42</c:v>
                </c:pt>
                <c:pt idx="5">
                  <c:v>0.38</c:v>
                </c:pt>
                <c:pt idx="6">
                  <c:v>0</c:v>
                </c:pt>
                <c:pt idx="7">
                  <c:v>0.49</c:v>
                </c:pt>
                <c:pt idx="8">
                  <c:v>0.56999999999999995</c:v>
                </c:pt>
                <c:pt idx="9">
                  <c:v>0.48</c:v>
                </c:pt>
                <c:pt idx="10">
                  <c:v>0.36</c:v>
                </c:pt>
                <c:pt idx="11">
                  <c:v>0.37</c:v>
                </c:pt>
                <c:pt idx="12">
                  <c:v>0.37</c:v>
                </c:pt>
                <c:pt idx="13">
                  <c:v>0.32</c:v>
                </c:pt>
                <c:pt idx="14">
                  <c:v>0.44</c:v>
                </c:pt>
                <c:pt idx="15">
                  <c:v>0.37</c:v>
                </c:pt>
                <c:pt idx="16">
                  <c:v>0.49</c:v>
                </c:pt>
                <c:pt idx="17">
                  <c:v>0.25</c:v>
                </c:pt>
                <c:pt idx="18">
                  <c:v>0.56000000000000005</c:v>
                </c:pt>
                <c:pt idx="19">
                  <c:v>0</c:v>
                </c:pt>
                <c:pt idx="20">
                  <c:v>0.38</c:v>
                </c:pt>
                <c:pt idx="21">
                  <c:v>0</c:v>
                </c:pt>
                <c:pt idx="22">
                  <c:v>0.32</c:v>
                </c:pt>
                <c:pt idx="23">
                  <c:v>0.28999999999999998</c:v>
                </c:pt>
                <c:pt idx="24">
                  <c:v>0.32</c:v>
                </c:pt>
                <c:pt idx="25">
                  <c:v>0</c:v>
                </c:pt>
                <c:pt idx="26">
                  <c:v>0</c:v>
                </c:pt>
                <c:pt idx="27">
                  <c:v>0.40100000000000008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193-49AF-BC4B-D84BFCF0A613}"/>
            </c:ext>
          </c:extLst>
        </c:ser>
        <c:ser>
          <c:idx val="2"/>
          <c:order val="2"/>
          <c:tx>
            <c:v>Mobile App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27"/>
            <c:invertIfNegative val="0"/>
            <c:bubble3D val="0"/>
            <c:spPr>
              <a:solidFill>
                <a:schemeClr val="accent3"/>
              </a:solidFill>
              <a:ln w="254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193-49AF-BC4B-D84BFCF0A613}"/>
              </c:ext>
            </c:extLst>
          </c:dPt>
          <c:cat>
            <c:strRef>
              <c:f>'Analisi Comparativa EU'!$B$7:$B$34</c:f>
              <c:strCache>
                <c:ptCount val="28"/>
                <c:pt idx="0">
                  <c:v>AUSTRIA</c:v>
                </c:pt>
                <c:pt idx="1">
                  <c:v>BELGIO</c:v>
                </c:pt>
                <c:pt idx="2">
                  <c:v>BULGARIA</c:v>
                </c:pt>
                <c:pt idx="3">
                  <c:v>CECHIA</c:v>
                </c:pt>
                <c:pt idx="4">
                  <c:v>CIPRO</c:v>
                </c:pt>
                <c:pt idx="5">
                  <c:v>CROAZIA</c:v>
                </c:pt>
                <c:pt idx="6">
                  <c:v>DANIMARCA</c:v>
                </c:pt>
                <c:pt idx="7">
                  <c:v>ESTONIA</c:v>
                </c:pt>
                <c:pt idx="8">
                  <c:v>FINLANDIA</c:v>
                </c:pt>
                <c:pt idx="9">
                  <c:v>FRANCIA</c:v>
                </c:pt>
                <c:pt idx="10">
                  <c:v>GERMANIA</c:v>
                </c:pt>
                <c:pt idx="11">
                  <c:v>GRECIA</c:v>
                </c:pt>
                <c:pt idx="12">
                  <c:v>IRLANDA</c:v>
                </c:pt>
                <c:pt idx="13">
                  <c:v>ITALIA</c:v>
                </c:pt>
                <c:pt idx="14">
                  <c:v>LETTONIA</c:v>
                </c:pt>
                <c:pt idx="15">
                  <c:v>LITUANIA</c:v>
                </c:pt>
                <c:pt idx="16">
                  <c:v>LUSSEMBURGO</c:v>
                </c:pt>
                <c:pt idx="17">
                  <c:v>MALTA</c:v>
                </c:pt>
                <c:pt idx="18">
                  <c:v>PAESI BASSI</c:v>
                </c:pt>
                <c:pt idx="19">
                  <c:v>POLONIA</c:v>
                </c:pt>
                <c:pt idx="20">
                  <c:v>PORTOGALLO</c:v>
                </c:pt>
                <c:pt idx="21">
                  <c:v>ROMANIA</c:v>
                </c:pt>
                <c:pt idx="22">
                  <c:v>SLOVACCHIA</c:v>
                </c:pt>
                <c:pt idx="23">
                  <c:v>SLOVENIA</c:v>
                </c:pt>
                <c:pt idx="24">
                  <c:v>SPAGNA</c:v>
                </c:pt>
                <c:pt idx="25">
                  <c:v>SVEZIA</c:v>
                </c:pt>
                <c:pt idx="26">
                  <c:v>UNGHERIA</c:v>
                </c:pt>
                <c:pt idx="27">
                  <c:v>EUROPA</c:v>
                </c:pt>
              </c:strCache>
            </c:strRef>
          </c:cat>
          <c:val>
            <c:numRef>
              <c:f>'Analisi Comparativa EU'!$R$7:$R$34</c:f>
              <c:numCache>
                <c:formatCode>0%</c:formatCode>
                <c:ptCount val="28"/>
                <c:pt idx="0">
                  <c:v>0.04</c:v>
                </c:pt>
                <c:pt idx="1">
                  <c:v>0.03</c:v>
                </c:pt>
                <c:pt idx="2">
                  <c:v>0</c:v>
                </c:pt>
                <c:pt idx="3">
                  <c:v>0</c:v>
                </c:pt>
                <c:pt idx="4">
                  <c:v>7.0000000000000007E-2</c:v>
                </c:pt>
                <c:pt idx="5">
                  <c:v>0.03</c:v>
                </c:pt>
                <c:pt idx="6">
                  <c:v>0</c:v>
                </c:pt>
                <c:pt idx="7">
                  <c:v>0.08</c:v>
                </c:pt>
                <c:pt idx="8">
                  <c:v>0.1</c:v>
                </c:pt>
                <c:pt idx="9">
                  <c:v>0.04</c:v>
                </c:pt>
                <c:pt idx="10">
                  <c:v>0.06</c:v>
                </c:pt>
                <c:pt idx="11">
                  <c:v>0.05</c:v>
                </c:pt>
                <c:pt idx="12">
                  <c:v>0.1</c:v>
                </c:pt>
                <c:pt idx="13">
                  <c:v>0.04</c:v>
                </c:pt>
                <c:pt idx="14">
                  <c:v>0.08</c:v>
                </c:pt>
                <c:pt idx="15">
                  <c:v>7.0000000000000007E-2</c:v>
                </c:pt>
                <c:pt idx="16">
                  <c:v>0.09</c:v>
                </c:pt>
                <c:pt idx="17">
                  <c:v>0.06</c:v>
                </c:pt>
                <c:pt idx="18">
                  <c:v>0.19</c:v>
                </c:pt>
                <c:pt idx="19">
                  <c:v>0</c:v>
                </c:pt>
                <c:pt idx="20">
                  <c:v>0.04</c:v>
                </c:pt>
                <c:pt idx="21">
                  <c:v>0</c:v>
                </c:pt>
                <c:pt idx="22">
                  <c:v>0.08</c:v>
                </c:pt>
                <c:pt idx="23">
                  <c:v>0.03</c:v>
                </c:pt>
                <c:pt idx="24">
                  <c:v>7.0000000000000007E-2</c:v>
                </c:pt>
                <c:pt idx="25">
                  <c:v>0</c:v>
                </c:pt>
                <c:pt idx="26">
                  <c:v>0</c:v>
                </c:pt>
                <c:pt idx="27">
                  <c:v>6.7500000000000004E-2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193-49AF-BC4B-D84BFCF0A613}"/>
            </c:ext>
          </c:extLst>
        </c:ser>
        <c:ser>
          <c:idx val="3"/>
          <c:order val="3"/>
          <c:tx>
            <c:v>Other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27"/>
            <c:invertIfNegative val="0"/>
            <c:bubble3D val="0"/>
            <c:spPr>
              <a:solidFill>
                <a:schemeClr val="accent4"/>
              </a:solidFill>
              <a:ln w="254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F193-49AF-BC4B-D84BFCF0A613}"/>
              </c:ext>
            </c:extLst>
          </c:dPt>
          <c:cat>
            <c:strRef>
              <c:f>'Analisi Comparativa EU'!$B$7:$B$34</c:f>
              <c:strCache>
                <c:ptCount val="28"/>
                <c:pt idx="0">
                  <c:v>AUSTRIA</c:v>
                </c:pt>
                <c:pt idx="1">
                  <c:v>BELGIO</c:v>
                </c:pt>
                <c:pt idx="2">
                  <c:v>BULGARIA</c:v>
                </c:pt>
                <c:pt idx="3">
                  <c:v>CECHIA</c:v>
                </c:pt>
                <c:pt idx="4">
                  <c:v>CIPRO</c:v>
                </c:pt>
                <c:pt idx="5">
                  <c:v>CROAZIA</c:v>
                </c:pt>
                <c:pt idx="6">
                  <c:v>DANIMARCA</c:v>
                </c:pt>
                <c:pt idx="7">
                  <c:v>ESTONIA</c:v>
                </c:pt>
                <c:pt idx="8">
                  <c:v>FINLANDIA</c:v>
                </c:pt>
                <c:pt idx="9">
                  <c:v>FRANCIA</c:v>
                </c:pt>
                <c:pt idx="10">
                  <c:v>GERMANIA</c:v>
                </c:pt>
                <c:pt idx="11">
                  <c:v>GRECIA</c:v>
                </c:pt>
                <c:pt idx="12">
                  <c:v>IRLANDA</c:v>
                </c:pt>
                <c:pt idx="13">
                  <c:v>ITALIA</c:v>
                </c:pt>
                <c:pt idx="14">
                  <c:v>LETTONIA</c:v>
                </c:pt>
                <c:pt idx="15">
                  <c:v>LITUANIA</c:v>
                </c:pt>
                <c:pt idx="16">
                  <c:v>LUSSEMBURGO</c:v>
                </c:pt>
                <c:pt idx="17">
                  <c:v>MALTA</c:v>
                </c:pt>
                <c:pt idx="18">
                  <c:v>PAESI BASSI</c:v>
                </c:pt>
                <c:pt idx="19">
                  <c:v>POLONIA</c:v>
                </c:pt>
                <c:pt idx="20">
                  <c:v>PORTOGALLO</c:v>
                </c:pt>
                <c:pt idx="21">
                  <c:v>ROMANIA</c:v>
                </c:pt>
                <c:pt idx="22">
                  <c:v>SLOVACCHIA</c:v>
                </c:pt>
                <c:pt idx="23">
                  <c:v>SLOVENIA</c:v>
                </c:pt>
                <c:pt idx="24">
                  <c:v>SPAGNA</c:v>
                </c:pt>
                <c:pt idx="25">
                  <c:v>SVEZIA</c:v>
                </c:pt>
                <c:pt idx="26">
                  <c:v>UNGHERIA</c:v>
                </c:pt>
                <c:pt idx="27">
                  <c:v>EUROPA</c:v>
                </c:pt>
              </c:strCache>
            </c:strRef>
          </c:cat>
          <c:val>
            <c:numRef>
              <c:f>'Analisi Comparativa EU'!$S$7:$S$34</c:f>
              <c:numCache>
                <c:formatCode>0%</c:formatCode>
                <c:ptCount val="28"/>
                <c:pt idx="0">
                  <c:v>0.03</c:v>
                </c:pt>
                <c:pt idx="1">
                  <c:v>0.05</c:v>
                </c:pt>
                <c:pt idx="2">
                  <c:v>0</c:v>
                </c:pt>
                <c:pt idx="3">
                  <c:v>0</c:v>
                </c:pt>
                <c:pt idx="4">
                  <c:v>0.03</c:v>
                </c:pt>
                <c:pt idx="5">
                  <c:v>0.04</c:v>
                </c:pt>
                <c:pt idx="6">
                  <c:v>0</c:v>
                </c:pt>
                <c:pt idx="7">
                  <c:v>0.04</c:v>
                </c:pt>
                <c:pt idx="8">
                  <c:v>0.06</c:v>
                </c:pt>
                <c:pt idx="9">
                  <c:v>0.05</c:v>
                </c:pt>
                <c:pt idx="10">
                  <c:v>0.05</c:v>
                </c:pt>
                <c:pt idx="11">
                  <c:v>0.04</c:v>
                </c:pt>
                <c:pt idx="12">
                  <c:v>0.04</c:v>
                </c:pt>
                <c:pt idx="13">
                  <c:v>0.03</c:v>
                </c:pt>
                <c:pt idx="14">
                  <c:v>0.03</c:v>
                </c:pt>
                <c:pt idx="15">
                  <c:v>0.02</c:v>
                </c:pt>
                <c:pt idx="16">
                  <c:v>0.05</c:v>
                </c:pt>
                <c:pt idx="17">
                  <c:v>0.02</c:v>
                </c:pt>
                <c:pt idx="18">
                  <c:v>0.03</c:v>
                </c:pt>
                <c:pt idx="19">
                  <c:v>0</c:v>
                </c:pt>
                <c:pt idx="20">
                  <c:v>0.04</c:v>
                </c:pt>
                <c:pt idx="21">
                  <c:v>0</c:v>
                </c:pt>
                <c:pt idx="22">
                  <c:v>0.03</c:v>
                </c:pt>
                <c:pt idx="23">
                  <c:v>0.04</c:v>
                </c:pt>
                <c:pt idx="24">
                  <c:v>0.04</c:v>
                </c:pt>
                <c:pt idx="25">
                  <c:v>0</c:v>
                </c:pt>
                <c:pt idx="26">
                  <c:v>0</c:v>
                </c:pt>
                <c:pt idx="27">
                  <c:v>3.8000000000000013E-2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193-49AF-BC4B-D84BFCF0A6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62528752"/>
        <c:axId val="662414512"/>
      </c:barChart>
      <c:catAx>
        <c:axId val="66252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62414512"/>
        <c:crosses val="autoZero"/>
        <c:auto val="1"/>
        <c:lblAlgn val="ctr"/>
        <c:lblOffset val="100"/>
        <c:noMultiLvlLbl val="0"/>
      </c:catAx>
      <c:valAx>
        <c:axId val="66241451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62528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it-IT" sz="1800" b="1">
                <a:solidFill>
                  <a:sysClr val="windowText" lastClr="000000"/>
                </a:solidFill>
              </a:rPr>
              <a:t>Preoccupazioni sulla privacy relative ai pagamenti digitali (solo Area Euro)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SI</c:v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27"/>
            <c:invertIfNegative val="0"/>
            <c:bubble3D val="0"/>
            <c:spPr>
              <a:solidFill>
                <a:srgbClr val="00B050"/>
              </a:solidFill>
              <a:ln w="254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B87-479D-9DED-CEC9F5AF44CE}"/>
              </c:ext>
            </c:extLst>
          </c:dPt>
          <c:cat>
            <c:strRef>
              <c:f>'Analisi Comparativa EU'!$B$7:$B$34</c:f>
              <c:strCache>
                <c:ptCount val="28"/>
                <c:pt idx="0">
                  <c:v>AUSTRIA</c:v>
                </c:pt>
                <c:pt idx="1">
                  <c:v>BELGIO</c:v>
                </c:pt>
                <c:pt idx="2">
                  <c:v>BULGARIA</c:v>
                </c:pt>
                <c:pt idx="3">
                  <c:v>CECHIA</c:v>
                </c:pt>
                <c:pt idx="4">
                  <c:v>CIPRO</c:v>
                </c:pt>
                <c:pt idx="5">
                  <c:v>CROAZIA</c:v>
                </c:pt>
                <c:pt idx="6">
                  <c:v>DANIMARCA</c:v>
                </c:pt>
                <c:pt idx="7">
                  <c:v>ESTONIA</c:v>
                </c:pt>
                <c:pt idx="8">
                  <c:v>FINLANDIA</c:v>
                </c:pt>
                <c:pt idx="9">
                  <c:v>FRANCIA</c:v>
                </c:pt>
                <c:pt idx="10">
                  <c:v>GERMANIA</c:v>
                </c:pt>
                <c:pt idx="11">
                  <c:v>GRECIA</c:v>
                </c:pt>
                <c:pt idx="12">
                  <c:v>IRLANDA</c:v>
                </c:pt>
                <c:pt idx="13">
                  <c:v>ITALIA</c:v>
                </c:pt>
                <c:pt idx="14">
                  <c:v>LETTONIA</c:v>
                </c:pt>
                <c:pt idx="15">
                  <c:v>LITUANIA</c:v>
                </c:pt>
                <c:pt idx="16">
                  <c:v>LUSSEMBURGO</c:v>
                </c:pt>
                <c:pt idx="17">
                  <c:v>MALTA</c:v>
                </c:pt>
                <c:pt idx="18">
                  <c:v>PAESI BASSI</c:v>
                </c:pt>
                <c:pt idx="19">
                  <c:v>POLONIA</c:v>
                </c:pt>
                <c:pt idx="20">
                  <c:v>PORTOGALLO</c:v>
                </c:pt>
                <c:pt idx="21">
                  <c:v>ROMANIA</c:v>
                </c:pt>
                <c:pt idx="22">
                  <c:v>SLOVACCHIA</c:v>
                </c:pt>
                <c:pt idx="23">
                  <c:v>SLOVENIA</c:v>
                </c:pt>
                <c:pt idx="24">
                  <c:v>SPAGNA</c:v>
                </c:pt>
                <c:pt idx="25">
                  <c:v>SVEZIA</c:v>
                </c:pt>
                <c:pt idx="26">
                  <c:v>UNGHERIA</c:v>
                </c:pt>
                <c:pt idx="27">
                  <c:v>EUROPA</c:v>
                </c:pt>
              </c:strCache>
            </c:strRef>
          </c:cat>
          <c:val>
            <c:numRef>
              <c:f>'Analisi Comparativa EU'!$L$7:$L$34</c:f>
              <c:numCache>
                <c:formatCode>0%</c:formatCode>
                <c:ptCount val="28"/>
                <c:pt idx="0">
                  <c:v>0.55000000000000004</c:v>
                </c:pt>
                <c:pt idx="1">
                  <c:v>0.6</c:v>
                </c:pt>
                <c:pt idx="2">
                  <c:v>0</c:v>
                </c:pt>
                <c:pt idx="3">
                  <c:v>0</c:v>
                </c:pt>
                <c:pt idx="4">
                  <c:v>0.59</c:v>
                </c:pt>
                <c:pt idx="5">
                  <c:v>0.55000000000000004</c:v>
                </c:pt>
                <c:pt idx="6">
                  <c:v>0</c:v>
                </c:pt>
                <c:pt idx="7">
                  <c:v>0.49</c:v>
                </c:pt>
                <c:pt idx="8">
                  <c:v>0.54</c:v>
                </c:pt>
                <c:pt idx="9">
                  <c:v>0.65</c:v>
                </c:pt>
                <c:pt idx="10">
                  <c:v>0.56999999999999995</c:v>
                </c:pt>
                <c:pt idx="11">
                  <c:v>0.66</c:v>
                </c:pt>
                <c:pt idx="12">
                  <c:v>0.59</c:v>
                </c:pt>
                <c:pt idx="13">
                  <c:v>0.57999999999999996</c:v>
                </c:pt>
                <c:pt idx="14">
                  <c:v>0.51</c:v>
                </c:pt>
                <c:pt idx="15">
                  <c:v>0.6</c:v>
                </c:pt>
                <c:pt idx="16">
                  <c:v>0.54</c:v>
                </c:pt>
                <c:pt idx="17">
                  <c:v>0.61</c:v>
                </c:pt>
                <c:pt idx="18">
                  <c:v>0.32</c:v>
                </c:pt>
                <c:pt idx="19">
                  <c:v>0</c:v>
                </c:pt>
                <c:pt idx="20">
                  <c:v>0.69</c:v>
                </c:pt>
                <c:pt idx="21">
                  <c:v>0</c:v>
                </c:pt>
                <c:pt idx="22">
                  <c:v>0.57999999999999996</c:v>
                </c:pt>
                <c:pt idx="23">
                  <c:v>0.56999999999999995</c:v>
                </c:pt>
                <c:pt idx="24">
                  <c:v>0.69</c:v>
                </c:pt>
                <c:pt idx="25">
                  <c:v>0</c:v>
                </c:pt>
                <c:pt idx="26">
                  <c:v>0</c:v>
                </c:pt>
                <c:pt idx="27">
                  <c:v>0.57399999999999995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87-479D-9DED-CEC9F5AF44CE}"/>
            </c:ext>
          </c:extLst>
        </c:ser>
        <c:ser>
          <c:idx val="1"/>
          <c:order val="1"/>
          <c:tx>
            <c:v>NO</c:v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Pt>
            <c:idx val="27"/>
            <c:invertIfNegative val="0"/>
            <c:bubble3D val="0"/>
            <c:spPr>
              <a:solidFill>
                <a:srgbClr val="FFC000"/>
              </a:solidFill>
              <a:ln w="254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B87-479D-9DED-CEC9F5AF44CE}"/>
              </c:ext>
            </c:extLst>
          </c:dPt>
          <c:cat>
            <c:strRef>
              <c:f>'Analisi Comparativa EU'!$B$7:$B$34</c:f>
              <c:strCache>
                <c:ptCount val="28"/>
                <c:pt idx="0">
                  <c:v>AUSTRIA</c:v>
                </c:pt>
                <c:pt idx="1">
                  <c:v>BELGIO</c:v>
                </c:pt>
                <c:pt idx="2">
                  <c:v>BULGARIA</c:v>
                </c:pt>
                <c:pt idx="3">
                  <c:v>CECHIA</c:v>
                </c:pt>
                <c:pt idx="4">
                  <c:v>CIPRO</c:v>
                </c:pt>
                <c:pt idx="5">
                  <c:v>CROAZIA</c:v>
                </c:pt>
                <c:pt idx="6">
                  <c:v>DANIMARCA</c:v>
                </c:pt>
                <c:pt idx="7">
                  <c:v>ESTONIA</c:v>
                </c:pt>
                <c:pt idx="8">
                  <c:v>FINLANDIA</c:v>
                </c:pt>
                <c:pt idx="9">
                  <c:v>FRANCIA</c:v>
                </c:pt>
                <c:pt idx="10">
                  <c:v>GERMANIA</c:v>
                </c:pt>
                <c:pt idx="11">
                  <c:v>GRECIA</c:v>
                </c:pt>
                <c:pt idx="12">
                  <c:v>IRLANDA</c:v>
                </c:pt>
                <c:pt idx="13">
                  <c:v>ITALIA</c:v>
                </c:pt>
                <c:pt idx="14">
                  <c:v>LETTONIA</c:v>
                </c:pt>
                <c:pt idx="15">
                  <c:v>LITUANIA</c:v>
                </c:pt>
                <c:pt idx="16">
                  <c:v>LUSSEMBURGO</c:v>
                </c:pt>
                <c:pt idx="17">
                  <c:v>MALTA</c:v>
                </c:pt>
                <c:pt idx="18">
                  <c:v>PAESI BASSI</c:v>
                </c:pt>
                <c:pt idx="19">
                  <c:v>POLONIA</c:v>
                </c:pt>
                <c:pt idx="20">
                  <c:v>PORTOGALLO</c:v>
                </c:pt>
                <c:pt idx="21">
                  <c:v>ROMANIA</c:v>
                </c:pt>
                <c:pt idx="22">
                  <c:v>SLOVACCHIA</c:v>
                </c:pt>
                <c:pt idx="23">
                  <c:v>SLOVENIA</c:v>
                </c:pt>
                <c:pt idx="24">
                  <c:v>SPAGNA</c:v>
                </c:pt>
                <c:pt idx="25">
                  <c:v>SVEZIA</c:v>
                </c:pt>
                <c:pt idx="26">
                  <c:v>UNGHERIA</c:v>
                </c:pt>
                <c:pt idx="27">
                  <c:v>EUROPA</c:v>
                </c:pt>
              </c:strCache>
            </c:strRef>
          </c:cat>
          <c:val>
            <c:numRef>
              <c:f>'Analisi Comparativa EU'!$M$7:$M$34</c:f>
              <c:numCache>
                <c:formatCode>0%</c:formatCode>
                <c:ptCount val="28"/>
                <c:pt idx="0">
                  <c:v>0.41</c:v>
                </c:pt>
                <c:pt idx="1">
                  <c:v>0.36</c:v>
                </c:pt>
                <c:pt idx="2">
                  <c:v>0</c:v>
                </c:pt>
                <c:pt idx="3">
                  <c:v>0</c:v>
                </c:pt>
                <c:pt idx="4">
                  <c:v>0.34</c:v>
                </c:pt>
                <c:pt idx="5">
                  <c:v>0.38</c:v>
                </c:pt>
                <c:pt idx="6">
                  <c:v>0</c:v>
                </c:pt>
                <c:pt idx="7">
                  <c:v>0.46</c:v>
                </c:pt>
                <c:pt idx="8">
                  <c:v>0.42</c:v>
                </c:pt>
                <c:pt idx="9">
                  <c:v>0.31</c:v>
                </c:pt>
                <c:pt idx="10">
                  <c:v>0.35</c:v>
                </c:pt>
                <c:pt idx="11">
                  <c:v>0.28000000000000003</c:v>
                </c:pt>
                <c:pt idx="12">
                  <c:v>0.35</c:v>
                </c:pt>
                <c:pt idx="13">
                  <c:v>0.37</c:v>
                </c:pt>
                <c:pt idx="14">
                  <c:v>0.46</c:v>
                </c:pt>
                <c:pt idx="15">
                  <c:v>0.38</c:v>
                </c:pt>
                <c:pt idx="16">
                  <c:v>0.41</c:v>
                </c:pt>
                <c:pt idx="17">
                  <c:v>0.34</c:v>
                </c:pt>
                <c:pt idx="18">
                  <c:v>0.6</c:v>
                </c:pt>
                <c:pt idx="19">
                  <c:v>0</c:v>
                </c:pt>
                <c:pt idx="20">
                  <c:v>0.25</c:v>
                </c:pt>
                <c:pt idx="21">
                  <c:v>0</c:v>
                </c:pt>
                <c:pt idx="22">
                  <c:v>0.38</c:v>
                </c:pt>
                <c:pt idx="23">
                  <c:v>0.37</c:v>
                </c:pt>
                <c:pt idx="24">
                  <c:v>0.25</c:v>
                </c:pt>
                <c:pt idx="25">
                  <c:v>0</c:v>
                </c:pt>
                <c:pt idx="26">
                  <c:v>0</c:v>
                </c:pt>
                <c:pt idx="27">
                  <c:v>0.3735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B87-479D-9DED-CEC9F5AF44CE}"/>
            </c:ext>
          </c:extLst>
        </c:ser>
        <c:ser>
          <c:idx val="2"/>
          <c:order val="2"/>
          <c:tx>
            <c:v>NON SA/NON USA Solitamente Pagamenti Digitali</c:v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27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B87-479D-9DED-CEC9F5AF44CE}"/>
              </c:ext>
            </c:extLst>
          </c:dPt>
          <c:cat>
            <c:strRef>
              <c:f>'Analisi Comparativa EU'!$B$7:$B$34</c:f>
              <c:strCache>
                <c:ptCount val="28"/>
                <c:pt idx="0">
                  <c:v>AUSTRIA</c:v>
                </c:pt>
                <c:pt idx="1">
                  <c:v>BELGIO</c:v>
                </c:pt>
                <c:pt idx="2">
                  <c:v>BULGARIA</c:v>
                </c:pt>
                <c:pt idx="3">
                  <c:v>CECHIA</c:v>
                </c:pt>
                <c:pt idx="4">
                  <c:v>CIPRO</c:v>
                </c:pt>
                <c:pt idx="5">
                  <c:v>CROAZIA</c:v>
                </c:pt>
                <c:pt idx="6">
                  <c:v>DANIMARCA</c:v>
                </c:pt>
                <c:pt idx="7">
                  <c:v>ESTONIA</c:v>
                </c:pt>
                <c:pt idx="8">
                  <c:v>FINLANDIA</c:v>
                </c:pt>
                <c:pt idx="9">
                  <c:v>FRANCIA</c:v>
                </c:pt>
                <c:pt idx="10">
                  <c:v>GERMANIA</c:v>
                </c:pt>
                <c:pt idx="11">
                  <c:v>GRECIA</c:v>
                </c:pt>
                <c:pt idx="12">
                  <c:v>IRLANDA</c:v>
                </c:pt>
                <c:pt idx="13">
                  <c:v>ITALIA</c:v>
                </c:pt>
                <c:pt idx="14">
                  <c:v>LETTONIA</c:v>
                </c:pt>
                <c:pt idx="15">
                  <c:v>LITUANIA</c:v>
                </c:pt>
                <c:pt idx="16">
                  <c:v>LUSSEMBURGO</c:v>
                </c:pt>
                <c:pt idx="17">
                  <c:v>MALTA</c:v>
                </c:pt>
                <c:pt idx="18">
                  <c:v>PAESI BASSI</c:v>
                </c:pt>
                <c:pt idx="19">
                  <c:v>POLONIA</c:v>
                </c:pt>
                <c:pt idx="20">
                  <c:v>PORTOGALLO</c:v>
                </c:pt>
                <c:pt idx="21">
                  <c:v>ROMANIA</c:v>
                </c:pt>
                <c:pt idx="22">
                  <c:v>SLOVACCHIA</c:v>
                </c:pt>
                <c:pt idx="23">
                  <c:v>SLOVENIA</c:v>
                </c:pt>
                <c:pt idx="24">
                  <c:v>SPAGNA</c:v>
                </c:pt>
                <c:pt idx="25">
                  <c:v>SVEZIA</c:v>
                </c:pt>
                <c:pt idx="26">
                  <c:v>UNGHERIA</c:v>
                </c:pt>
                <c:pt idx="27">
                  <c:v>EUROPA</c:v>
                </c:pt>
              </c:strCache>
            </c:strRef>
          </c:cat>
          <c:val>
            <c:numRef>
              <c:f>'Analisi Comparativa EU'!$N$7:$N$34</c:f>
              <c:numCache>
                <c:formatCode>0%</c:formatCode>
                <c:ptCount val="28"/>
                <c:pt idx="0">
                  <c:v>0.04</c:v>
                </c:pt>
                <c:pt idx="1">
                  <c:v>0.04</c:v>
                </c:pt>
                <c:pt idx="2">
                  <c:v>0</c:v>
                </c:pt>
                <c:pt idx="3">
                  <c:v>0</c:v>
                </c:pt>
                <c:pt idx="4">
                  <c:v>7.0000000000000007E-2</c:v>
                </c:pt>
                <c:pt idx="5">
                  <c:v>7.0000000000000007E-2</c:v>
                </c:pt>
                <c:pt idx="6">
                  <c:v>0</c:v>
                </c:pt>
                <c:pt idx="7">
                  <c:v>0.05</c:v>
                </c:pt>
                <c:pt idx="8">
                  <c:v>0.04</c:v>
                </c:pt>
                <c:pt idx="9">
                  <c:v>0.04</c:v>
                </c:pt>
                <c:pt idx="10">
                  <c:v>0.08</c:v>
                </c:pt>
                <c:pt idx="11">
                  <c:v>0.06</c:v>
                </c:pt>
                <c:pt idx="12">
                  <c:v>0.06</c:v>
                </c:pt>
                <c:pt idx="13">
                  <c:v>0.05</c:v>
                </c:pt>
                <c:pt idx="14">
                  <c:v>0.03</c:v>
                </c:pt>
                <c:pt idx="15">
                  <c:v>0.02</c:v>
                </c:pt>
                <c:pt idx="16">
                  <c:v>0.05</c:v>
                </c:pt>
                <c:pt idx="17">
                  <c:v>0.05</c:v>
                </c:pt>
                <c:pt idx="18">
                  <c:v>0.08</c:v>
                </c:pt>
                <c:pt idx="19">
                  <c:v>0</c:v>
                </c:pt>
                <c:pt idx="20">
                  <c:v>0.06</c:v>
                </c:pt>
                <c:pt idx="21">
                  <c:v>0</c:v>
                </c:pt>
                <c:pt idx="22">
                  <c:v>0.04</c:v>
                </c:pt>
                <c:pt idx="23">
                  <c:v>0.06</c:v>
                </c:pt>
                <c:pt idx="24">
                  <c:v>0.06</c:v>
                </c:pt>
                <c:pt idx="25">
                  <c:v>0</c:v>
                </c:pt>
                <c:pt idx="26">
                  <c:v>0</c:v>
                </c:pt>
                <c:pt idx="27">
                  <c:v>5.2500000000000012E-2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B87-479D-9DED-CEC9F5AF44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9025920"/>
        <c:axId val="129018240"/>
      </c:barChart>
      <c:catAx>
        <c:axId val="129025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9018240"/>
        <c:crosses val="autoZero"/>
        <c:auto val="1"/>
        <c:lblAlgn val="ctr"/>
        <c:lblOffset val="100"/>
        <c:noMultiLvlLbl val="0"/>
      </c:catAx>
      <c:valAx>
        <c:axId val="129018240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9025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orientation="portrait"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_xlchart.v1.3</cx:f>
      </cx:numDim>
    </cx:data>
  </cx:chartData>
  <cx:chart>
    <cx:title pos="t" align="ctr" overlay="0">
      <cx:tx>
        <cx:txData>
          <cx:v>Persone che utilizzano l'internet banking (%)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it-IT" sz="1800" b="1" i="0" u="none" strike="noStrike" baseline="0">
              <a:solidFill>
                <a:schemeClr val="tx1"/>
              </a:solidFill>
              <a:latin typeface="Calibri" panose="020F0502020204030204"/>
            </a:rPr>
            <a:t>Persone che utilizzano l'internet banking (%)</a:t>
          </a:r>
        </a:p>
      </cx:txPr>
    </cx:title>
    <cx:plotArea>
      <cx:plotAreaRegion>
        <cx:series layoutId="clusteredColumn" uniqueId="{EAFEBDE7-60CE-4ABF-A90B-571A67FE3E59}">
          <cx:dataPt idx="16">
            <cx:spPr>
              <a:solidFill>
                <a:srgbClr val="FF0000"/>
              </a:solidFill>
              <a:ln w="25400">
                <a:solidFill>
                  <a:sysClr val="windowText" lastClr="000000"/>
                </a:solidFill>
              </a:ln>
            </cx:spPr>
          </cx:dataPt>
          <cx:dataId val="0"/>
          <cx:layoutPr>
            <cx:aggregation/>
          </cx:layoutPr>
          <cx:axisId val="1"/>
        </cx:series>
        <cx:series layoutId="paretoLine" ownerIdx="0" uniqueId="{6E931011-5E82-46C6-B4F4-0473964CA32C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  <cx:spPr>
    <a:ln w="0">
      <a:solidFill>
        <a:schemeClr val="tx1"/>
      </a:solidFill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title pos="t" align="ctr" overlay="0">
      <cx:tx>
        <cx:txData>
          <cx:v>Tasso di crescita dei pagamenti digitali [2024 vs 2023] (%)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it-IT" sz="1800" b="1" i="0" u="none" strike="noStrike" baseline="0">
              <a:solidFill>
                <a:schemeClr val="tx1"/>
              </a:solidFill>
              <a:latin typeface="Calibri" panose="020F0502020204030204"/>
            </a:rPr>
            <a:t>Tasso di crescita dei pagamenti digitali [2024 vs 2023] (%)</a:t>
          </a:r>
        </a:p>
      </cx:txPr>
    </cx:title>
    <cx:plotArea>
      <cx:plotAreaRegion>
        <cx:series layoutId="funnel" uniqueId="{C48F90D9-6FF7-4429-BC3D-21D861513857}">
          <cx:tx>
            <cx:txData>
              <cx:f/>
              <cx:v>Tasso di crescita dei pagamenti digitali</cx:v>
            </cx:txData>
          </cx:tx>
          <cx:spPr>
            <a:solidFill>
              <a:srgbClr val="00B050"/>
            </a:solidFill>
          </cx:spPr>
          <cx:dataPt idx="27">
            <cx:spPr>
              <a:solidFill>
                <a:srgbClr val="FF0000"/>
              </a:solidFill>
              <a:ln w="25400">
                <a:solidFill>
                  <a:sysClr val="windowText" lastClr="000000"/>
                </a:solidFill>
              </a:ln>
            </cx:spPr>
          </cx:dataPt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62</xdr:row>
      <xdr:rowOff>130174</xdr:rowOff>
    </xdr:from>
    <xdr:to>
      <xdr:col>7</xdr:col>
      <xdr:colOff>1314450</xdr:colOff>
      <xdr:row>79</xdr:row>
      <xdr:rowOff>215900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fico 1">
              <a:extLst>
                <a:ext uri="{FF2B5EF4-FFF2-40B4-BE49-F238E27FC236}">
                  <a16:creationId xmlns:a16="http://schemas.microsoft.com/office/drawing/2014/main" id="{322D2EB6-D9BD-49FA-B816-3CCED8741D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19350" y="15865474"/>
              <a:ext cx="9467850" cy="46196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  <xdr:twoCellAnchor>
    <xdr:from>
      <xdr:col>2</xdr:col>
      <xdr:colOff>50800</xdr:colOff>
      <xdr:row>81</xdr:row>
      <xdr:rowOff>22224</xdr:rowOff>
    </xdr:from>
    <xdr:to>
      <xdr:col>8</xdr:col>
      <xdr:colOff>1708150</xdr:colOff>
      <xdr:row>97</xdr:row>
      <xdr:rowOff>101600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1580B2F2-110B-4EE4-8D13-4680C456F0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1536700</xdr:colOff>
      <xdr:row>62</xdr:row>
      <xdr:rowOff>101600</xdr:rowOff>
    </xdr:from>
    <xdr:to>
      <xdr:col>13</xdr:col>
      <xdr:colOff>2165350</xdr:colOff>
      <xdr:row>80</xdr:row>
      <xdr:rowOff>76200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4" name="Grafico 3">
              <a:extLst>
                <a:ext uri="{FF2B5EF4-FFF2-40B4-BE49-F238E27FC236}">
                  <a16:creationId xmlns:a16="http://schemas.microsoft.com/office/drawing/2014/main" id="{58EE5C0E-86F1-4A89-86A5-0F815F5654B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09450" y="15836900"/>
              <a:ext cx="12839700" cy="4775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  <xdr:twoCellAnchor>
    <xdr:from>
      <xdr:col>15</xdr:col>
      <xdr:colOff>349250</xdr:colOff>
      <xdr:row>63</xdr:row>
      <xdr:rowOff>53974</xdr:rowOff>
    </xdr:from>
    <xdr:to>
      <xdr:col>20</xdr:col>
      <xdr:colOff>1911350</xdr:colOff>
      <xdr:row>80</xdr:row>
      <xdr:rowOff>241300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DE835722-6788-45B9-9E86-9EC40F9D83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330200</xdr:colOff>
      <xdr:row>80</xdr:row>
      <xdr:rowOff>177800</xdr:rowOff>
    </xdr:from>
    <xdr:to>
      <xdr:col>16</xdr:col>
      <xdr:colOff>863600</xdr:colOff>
      <xdr:row>97</xdr:row>
      <xdr:rowOff>127000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DB754AB7-9679-48A8-96E0-6ED6046DEC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87C35E-C17E-4C63-B4B9-FBD4FE37AF40}" name="Table_ForecastInput2" displayName="Table_ForecastInput2" ref="B5:T46" headerRowDxfId="14" headerRowBorderDxfId="13">
  <autoFilter ref="B5:T46" xr:uid="{00000000-000C-0000-FFFF-FFFF00000000}"/>
  <tableColumns count="19">
    <tableColumn id="1" xr3:uid="{C6F2A1FD-960B-4731-AB27-7BB50586B459}" name="Paese Europei" totalsRowLabel="Totale"/>
    <tableColumn id="2" xr3:uid="{FCFC0013-0DF9-4D28-BAF3-A5E1484369EF}" name="Aderenti all'area dell'Euro"/>
    <tableColumn id="3" xr3:uid="{389BEFF4-13B3-4356-8E17-1FD28E712A92}" name="Persone che utilizzano l'internet banking (%)"/>
    <tableColumn id="4" xr3:uid="{84CEB14B-D1F5-41FC-A3F3-272C4FCE607C}" name="Tasso di crescita dei pagamenti digitali [2024 vs 2023] (%)"/>
    <tableColumn id="10" xr3:uid="{30C36423-D43E-421B-83B4-7F547120C9D6}" name="Very Low Digital intensity index of enterprises with more than ten employees (%)" dataDxfId="12"/>
    <tableColumn id="9" xr3:uid="{683F4306-5B29-4942-816E-0089031C95ED}" name="Low Digital intensity index of enterprises with more than ten employees (%)" dataDxfId="11"/>
    <tableColumn id="11" xr3:uid="{C1D928C5-2DCF-4A8E-B231-9E768DA855B6}" name="High Digital intensity index of enterprises with more than ten employees (%)" dataDxfId="10"/>
    <tableColumn id="5" xr3:uid="{4198C161-0587-4E9E-B0D2-AFE8660FC894}" name="Very High Digital intensity index of enterprises with more than ten employees (%)" dataDxfId="9"/>
    <tableColumn id="6" xr3:uid="{DDBB23A2-F847-4D13-8DDF-8155E88EB96E}" name="Fiducia e immagine dell'UE e delle sue istituzioni [2023vs2024] (%)"/>
    <tableColumn id="7" xr3:uid="{B896CAED-0753-468E-98CB-A7E7564BC13E}" name="Limitazioni al pagamento in contanti (€)"/>
    <tableColumn id="20" xr3:uid="{88968409-CB1B-4CC1-A46E-2C886A963D9E}" name="Preoccupazioni sulla privacy: SI" dataDxfId="8"/>
    <tableColumn id="18" xr3:uid="{F289905C-823A-4AD5-8845-173DCBB771D7}" name="Preoccupazioni sulla privacy: NO" dataDxfId="7"/>
    <tableColumn id="15" xr3:uid="{601F9A32-03E0-4D4D-8DA9-7C84A7FB6BC2}" name="Preoccupazioni sulla privacy: NON SA/NON USA solitamente pagamenti digitali" dataDxfId="6"/>
    <tableColumn id="14" xr3:uid="{6D306AD7-5F08-4DAC-B5F4-4B13EA5858E3}" name="Preoccupazioni sulla privacy: Non sa/Riufiuta di Rispondere" dataDxfId="5"/>
    <tableColumn id="13" xr3:uid="{66ECCFAA-6453-41AC-9933-CFC66A6299B5}" name="Numero di Pagamenti mediante: Contante" dataDxfId="4"/>
    <tableColumn id="17" xr3:uid="{E506AC83-CFE2-4EA0-9184-3C13894C8F8A}" name="Numero di Pagamenti mediante: Carte Bancarie" dataDxfId="3"/>
    <tableColumn id="16" xr3:uid="{5F9BEAD2-0BED-4600-A6F1-B3537539D5CC}" name="Numero di Pagamenti mediante: Mobile App" dataDxfId="2"/>
    <tableColumn id="12" xr3:uid="{0C837105-A14F-4200-96D5-DEDCBCED3E84}" name="Numero di Pagamenti mediante: Altri Strumenti di Pagamento" dataDxfId="1"/>
    <tableColumn id="8" xr3:uid="{EB9D42E7-2875-45F2-BB45-633039FA34BF}" name="Individui che hanno utilizzato Internet, frequenza di utilizzo e attività (%)" totalsRowFunction="count" dataDxfId="0"/>
  </tableColumns>
  <tableStyleInfo name="Tabella aziendale" showFirstColumn="0" showLastColumn="0" showRowStripes="0" showColumnStripes="0"/>
</table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https://www.ecb.europa.eu/stats/ecb_surveys/space/html/ecb.space2024~19d46f0f17.en.html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isoc_e_dii__custom_16185477/default/table?lang=en" TargetMode="External"/><Relationship Id="rId1" Type="http://schemas.openxmlformats.org/officeDocument/2006/relationships/hyperlink" Target="https://www.sumup.com/it-it/business-guide/pagamenti-cashless-europa-osservatorio-2024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ecb.europa.eu/press/pr/date/2025/html/ecb.pr250228_1~7f0697af45.en.html?utm_source=chatgpt.com" TargetMode="External"/><Relationship Id="rId4" Type="http://schemas.openxmlformats.org/officeDocument/2006/relationships/hyperlink" Target="https://www.ecb.europa.eu/stats/ecb_surveys/space/html/ecb.space2024~19d46f0f17.e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BE065-2629-4AF1-8F99-8AFC4B2AB63C}">
  <sheetPr>
    <tabColor theme="3"/>
    <pageSetUpPr fitToPage="1"/>
  </sheetPr>
  <dimension ref="A1:W62"/>
  <sheetViews>
    <sheetView showGridLines="0" tabSelected="1" topLeftCell="B55" zoomScaleNormal="100" workbookViewId="0">
      <pane xSplit="1" topLeftCell="H1" activePane="topRight" state="frozen"/>
      <selection activeCell="B17" sqref="B17"/>
      <selection pane="topRight" activeCell="J59" sqref="J59:J62"/>
    </sheetView>
  </sheetViews>
  <sheetFormatPr defaultColWidth="8.6328125" defaultRowHeight="21" customHeight="1" x14ac:dyDescent="0.35"/>
  <cols>
    <col min="1" max="1" width="3.81640625" style="1" hidden="1" customWidth="1"/>
    <col min="2" max="2" width="33.81640625" style="15" customWidth="1"/>
    <col min="3" max="3" width="15.453125" style="15" customWidth="1"/>
    <col min="4" max="4" width="21.26953125" style="15" customWidth="1"/>
    <col min="5" max="5" width="24.36328125" style="15" customWidth="1"/>
    <col min="6" max="6" width="29.7265625" style="15" customWidth="1"/>
    <col min="7" max="7" width="26.7265625" style="15" customWidth="1"/>
    <col min="8" max="8" width="27.54296875" style="15" customWidth="1"/>
    <col min="9" max="9" width="29.54296875" style="16" customWidth="1"/>
    <col min="10" max="10" width="34.26953125" style="15" customWidth="1"/>
    <col min="11" max="11" width="30.90625" style="17" customWidth="1"/>
    <col min="12" max="12" width="26.1796875" style="17" customWidth="1"/>
    <col min="13" max="13" width="26.36328125" style="17" customWidth="1"/>
    <col min="14" max="14" width="31.6328125" style="17" customWidth="1"/>
    <col min="15" max="15" width="28.54296875" style="17" hidden="1" customWidth="1"/>
    <col min="16" max="16" width="23.453125" style="17" customWidth="1"/>
    <col min="17" max="17" width="24.90625" style="17" customWidth="1"/>
    <col min="18" max="18" width="25.54296875" style="17" customWidth="1"/>
    <col min="19" max="19" width="27.08984375" style="17" customWidth="1"/>
    <col min="20" max="20" width="36.81640625" style="18" customWidth="1"/>
    <col min="21" max="21" width="28.54296875" style="18" customWidth="1"/>
    <col min="22" max="16384" width="8.6328125" style="3"/>
  </cols>
  <sheetData>
    <row r="1" spans="1:23" ht="20.149999999999999" customHeight="1" x14ac:dyDescent="0.35">
      <c r="B1" s="1"/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3" s="9" customFormat="1" ht="30" customHeight="1" x14ac:dyDescent="0.55000000000000004">
      <c r="A2" s="6"/>
      <c r="B2" s="31" t="s">
        <v>0</v>
      </c>
      <c r="C2" s="7"/>
      <c r="D2" s="99" t="s">
        <v>112</v>
      </c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51"/>
      <c r="T2" s="51"/>
      <c r="U2" s="8"/>
    </row>
    <row r="3" spans="1:23" s="13" customFormat="1" ht="80.150000000000006" customHeight="1" x14ac:dyDescent="1.55">
      <c r="A3" s="10"/>
      <c r="B3" s="32" t="s">
        <v>1</v>
      </c>
      <c r="C3" s="11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51"/>
      <c r="T3" s="51"/>
      <c r="U3" s="12"/>
    </row>
    <row r="4" spans="1:23" s="9" customFormat="1" ht="32.15" customHeight="1" thickBot="1" x14ac:dyDescent="0.4">
      <c r="A4" s="6"/>
      <c r="B4" s="33" t="s">
        <v>2</v>
      </c>
      <c r="C4" s="7"/>
      <c r="D4" s="7"/>
      <c r="E4" s="7"/>
      <c r="F4" s="7"/>
      <c r="G4" s="7"/>
      <c r="H4" s="7"/>
      <c r="I4" s="6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spans="1:23" s="5" customFormat="1" ht="60" customHeight="1" thickBot="1" x14ac:dyDescent="0.5">
      <c r="A5" s="4"/>
      <c r="B5" s="70" t="s">
        <v>34</v>
      </c>
      <c r="C5" s="71" t="s">
        <v>3</v>
      </c>
      <c r="D5" s="71" t="s">
        <v>109</v>
      </c>
      <c r="E5" s="66" t="s">
        <v>115</v>
      </c>
      <c r="F5" s="61" t="s">
        <v>45</v>
      </c>
      <c r="G5" s="61" t="s">
        <v>46</v>
      </c>
      <c r="H5" s="61" t="s">
        <v>47</v>
      </c>
      <c r="I5" s="61" t="s">
        <v>48</v>
      </c>
      <c r="J5" s="65" t="s">
        <v>36</v>
      </c>
      <c r="K5" s="66" t="s">
        <v>37</v>
      </c>
      <c r="L5" s="63" t="s">
        <v>90</v>
      </c>
      <c r="M5" s="63" t="s">
        <v>91</v>
      </c>
      <c r="N5" s="63" t="s">
        <v>99</v>
      </c>
      <c r="O5" s="52" t="s">
        <v>92</v>
      </c>
      <c r="P5" s="53" t="s">
        <v>95</v>
      </c>
      <c r="Q5" s="53" t="s">
        <v>96</v>
      </c>
      <c r="R5" s="53" t="s">
        <v>97</v>
      </c>
      <c r="S5" s="53" t="s">
        <v>98</v>
      </c>
      <c r="T5" s="74" t="s">
        <v>107</v>
      </c>
      <c r="U5" s="73" t="s">
        <v>41</v>
      </c>
      <c r="V5" s="100"/>
      <c r="W5" s="100"/>
    </row>
    <row r="6" spans="1:23" s="5" customFormat="1" ht="24" customHeight="1" thickBot="1" x14ac:dyDescent="0.5">
      <c r="A6" s="4"/>
      <c r="B6" s="55"/>
      <c r="C6" s="72"/>
      <c r="D6" s="72"/>
      <c r="E6" s="68"/>
      <c r="F6" s="69"/>
      <c r="G6" s="75" t="s">
        <v>111</v>
      </c>
      <c r="H6" s="62"/>
      <c r="I6" s="64"/>
      <c r="J6" s="67"/>
      <c r="K6" s="68"/>
      <c r="L6" s="81" t="s">
        <v>93</v>
      </c>
      <c r="M6" s="83"/>
      <c r="N6" s="82"/>
      <c r="O6" s="54"/>
      <c r="P6" s="79"/>
      <c r="Q6" s="80" t="s">
        <v>102</v>
      </c>
      <c r="R6" s="76"/>
      <c r="S6" s="84"/>
      <c r="T6" s="77"/>
      <c r="U6" s="78"/>
      <c r="V6" s="41"/>
      <c r="W6" s="41"/>
    </row>
    <row r="7" spans="1:23" ht="24" customHeight="1" x14ac:dyDescent="0.35">
      <c r="B7" s="14" t="s">
        <v>26</v>
      </c>
      <c r="C7" s="14" t="s">
        <v>32</v>
      </c>
      <c r="D7" s="24">
        <v>78.239999999999995</v>
      </c>
      <c r="E7" s="24">
        <v>19.8</v>
      </c>
      <c r="F7" s="42">
        <v>26.97</v>
      </c>
      <c r="G7" s="42">
        <v>36.89</v>
      </c>
      <c r="H7" s="42">
        <v>28.24</v>
      </c>
      <c r="I7" s="42">
        <v>7.9</v>
      </c>
      <c r="J7" s="14" t="s">
        <v>84</v>
      </c>
      <c r="K7" s="35" t="s">
        <v>39</v>
      </c>
      <c r="L7" s="49">
        <v>0.55000000000000004</v>
      </c>
      <c r="M7" s="49">
        <v>0.41</v>
      </c>
      <c r="N7" s="49">
        <v>0.04</v>
      </c>
      <c r="O7" s="49"/>
      <c r="P7" s="46">
        <v>0.62</v>
      </c>
      <c r="Q7" s="46">
        <v>0.31</v>
      </c>
      <c r="R7" s="46">
        <v>0.04</v>
      </c>
      <c r="S7" s="46">
        <v>0.03</v>
      </c>
      <c r="T7" s="22">
        <v>91.96</v>
      </c>
      <c r="U7" s="44" t="s">
        <v>43</v>
      </c>
    </row>
    <row r="8" spans="1:23" ht="24" customHeight="1" x14ac:dyDescent="0.35">
      <c r="B8" s="14" t="s">
        <v>4</v>
      </c>
      <c r="C8" s="14" t="s">
        <v>32</v>
      </c>
      <c r="D8" s="24">
        <v>83.54</v>
      </c>
      <c r="E8" s="24">
        <v>18.3</v>
      </c>
      <c r="F8" s="42">
        <v>15.7</v>
      </c>
      <c r="G8" s="42">
        <v>35.14</v>
      </c>
      <c r="H8" s="42">
        <v>34.340000000000003</v>
      </c>
      <c r="I8" s="42">
        <v>14.82</v>
      </c>
      <c r="J8" s="14" t="s">
        <v>82</v>
      </c>
      <c r="K8" s="35">
        <v>3000</v>
      </c>
      <c r="L8" s="49">
        <v>0.6</v>
      </c>
      <c r="M8" s="49">
        <v>0.36</v>
      </c>
      <c r="N8" s="49">
        <v>0.04</v>
      </c>
      <c r="O8" s="49"/>
      <c r="P8" s="46">
        <v>0.39</v>
      </c>
      <c r="Q8" s="46">
        <v>0.53</v>
      </c>
      <c r="R8" s="46">
        <v>0.03</v>
      </c>
      <c r="S8" s="46">
        <v>0.05</v>
      </c>
      <c r="T8" s="22">
        <v>94.87</v>
      </c>
      <c r="U8" s="45" t="s">
        <v>42</v>
      </c>
    </row>
    <row r="9" spans="1:23" ht="24" customHeight="1" x14ac:dyDescent="0.35">
      <c r="B9" s="14" t="s">
        <v>5</v>
      </c>
      <c r="C9" s="14" t="s">
        <v>33</v>
      </c>
      <c r="D9" s="24">
        <v>31.33</v>
      </c>
      <c r="E9" s="24">
        <v>18.8</v>
      </c>
      <c r="F9" s="42">
        <v>49.06</v>
      </c>
      <c r="G9" s="42">
        <v>33.35</v>
      </c>
      <c r="H9" s="42">
        <v>14.82</v>
      </c>
      <c r="I9" s="42">
        <v>2.77</v>
      </c>
      <c r="J9" s="14" t="s">
        <v>83</v>
      </c>
      <c r="K9" s="35">
        <v>5000</v>
      </c>
      <c r="L9" s="49" t="s">
        <v>59</v>
      </c>
      <c r="M9" s="49" t="s">
        <v>59</v>
      </c>
      <c r="N9" s="49" t="s">
        <v>59</v>
      </c>
      <c r="O9" s="49"/>
      <c r="P9" s="46" t="s">
        <v>59</v>
      </c>
      <c r="Q9" s="46" t="s">
        <v>59</v>
      </c>
      <c r="R9" s="46" t="s">
        <v>59</v>
      </c>
      <c r="S9" s="46" t="s">
        <v>59</v>
      </c>
      <c r="T9" s="22">
        <v>81.92</v>
      </c>
      <c r="U9" s="45" t="s">
        <v>59</v>
      </c>
    </row>
    <row r="10" spans="1:23" ht="24" customHeight="1" x14ac:dyDescent="0.35">
      <c r="B10" s="14" t="s">
        <v>6</v>
      </c>
      <c r="C10" s="14" t="s">
        <v>33</v>
      </c>
      <c r="D10" s="24">
        <v>83.57</v>
      </c>
      <c r="E10" s="24">
        <v>12.2</v>
      </c>
      <c r="F10" s="42">
        <v>28.15</v>
      </c>
      <c r="G10" s="42">
        <v>37.08</v>
      </c>
      <c r="H10" s="42">
        <v>27.49</v>
      </c>
      <c r="I10" s="42">
        <v>7.29</v>
      </c>
      <c r="J10" s="14" t="s">
        <v>86</v>
      </c>
      <c r="K10" s="35">
        <v>10000</v>
      </c>
      <c r="L10" s="49" t="s">
        <v>59</v>
      </c>
      <c r="M10" s="49" t="s">
        <v>59</v>
      </c>
      <c r="N10" s="49" t="s">
        <v>59</v>
      </c>
      <c r="O10" s="49"/>
      <c r="P10" s="46" t="s">
        <v>59</v>
      </c>
      <c r="Q10" s="46" t="s">
        <v>59</v>
      </c>
      <c r="R10" s="46" t="s">
        <v>59</v>
      </c>
      <c r="S10" s="46" t="s">
        <v>59</v>
      </c>
      <c r="T10" s="22">
        <v>92.19</v>
      </c>
      <c r="U10" s="45" t="s">
        <v>59</v>
      </c>
    </row>
    <row r="11" spans="1:23" ht="24" customHeight="1" x14ac:dyDescent="0.35">
      <c r="B11" s="14" t="s">
        <v>7</v>
      </c>
      <c r="C11" s="14" t="s">
        <v>32</v>
      </c>
      <c r="D11" s="24">
        <v>80.540000000000006</v>
      </c>
      <c r="E11" s="24">
        <v>33.6</v>
      </c>
      <c r="F11" s="42">
        <v>25.16</v>
      </c>
      <c r="G11" s="42">
        <v>36.43</v>
      </c>
      <c r="H11" s="42">
        <v>30.61</v>
      </c>
      <c r="I11" s="42">
        <v>7.81</v>
      </c>
      <c r="J11" s="14" t="s">
        <v>68</v>
      </c>
      <c r="K11" s="35" t="s">
        <v>39</v>
      </c>
      <c r="L11" s="49">
        <v>0.59</v>
      </c>
      <c r="M11" s="49">
        <v>0.34</v>
      </c>
      <c r="N11" s="49">
        <v>7.0000000000000007E-2</v>
      </c>
      <c r="O11" s="49"/>
      <c r="P11" s="46">
        <v>0.48</v>
      </c>
      <c r="Q11" s="46">
        <v>0.42</v>
      </c>
      <c r="R11" s="46">
        <v>7.0000000000000007E-2</v>
      </c>
      <c r="S11" s="46">
        <v>0.03</v>
      </c>
      <c r="T11" s="22">
        <v>94.43</v>
      </c>
      <c r="U11" s="45" t="s">
        <v>43</v>
      </c>
    </row>
    <row r="12" spans="1:23" ht="24" customHeight="1" x14ac:dyDescent="0.35">
      <c r="B12" s="14" t="s">
        <v>8</v>
      </c>
      <c r="C12" s="14" t="s">
        <v>32</v>
      </c>
      <c r="D12" s="24">
        <v>61.52</v>
      </c>
      <c r="E12" s="24">
        <v>10.44</v>
      </c>
      <c r="F12" s="42">
        <v>35.659999999999997</v>
      </c>
      <c r="G12" s="42">
        <v>35.28</v>
      </c>
      <c r="H12" s="42">
        <v>21.3</v>
      </c>
      <c r="I12" s="42">
        <v>7.76</v>
      </c>
      <c r="J12" s="14" t="s">
        <v>67</v>
      </c>
      <c r="K12" s="35">
        <v>15000</v>
      </c>
      <c r="L12" s="49">
        <v>0.55000000000000004</v>
      </c>
      <c r="M12" s="49">
        <v>0.38</v>
      </c>
      <c r="N12" s="49">
        <v>7.0000000000000007E-2</v>
      </c>
      <c r="O12" s="49"/>
      <c r="P12" s="46">
        <v>0.55000000000000004</v>
      </c>
      <c r="Q12" s="46">
        <v>0.38</v>
      </c>
      <c r="R12" s="46">
        <v>0.03</v>
      </c>
      <c r="S12" s="46">
        <v>0.04</v>
      </c>
      <c r="T12" s="22">
        <v>82.56</v>
      </c>
      <c r="U12" s="45" t="s">
        <v>43</v>
      </c>
    </row>
    <row r="13" spans="1:23" ht="24" customHeight="1" x14ac:dyDescent="0.35">
      <c r="B13" s="14" t="s">
        <v>9</v>
      </c>
      <c r="C13" s="14" t="s">
        <v>33</v>
      </c>
      <c r="D13" s="24">
        <v>97.76</v>
      </c>
      <c r="E13" s="24">
        <v>8.3000000000000007</v>
      </c>
      <c r="F13" s="42">
        <v>9.24</v>
      </c>
      <c r="G13" s="42">
        <v>31.63</v>
      </c>
      <c r="H13" s="42">
        <v>41.07</v>
      </c>
      <c r="I13" s="42">
        <v>18.059999999999999</v>
      </c>
      <c r="J13" s="14" t="s">
        <v>66</v>
      </c>
      <c r="K13" s="35">
        <v>2700</v>
      </c>
      <c r="L13" s="49" t="s">
        <v>59</v>
      </c>
      <c r="M13" s="49" t="s">
        <v>59</v>
      </c>
      <c r="N13" s="49" t="s">
        <v>59</v>
      </c>
      <c r="O13" s="49"/>
      <c r="P13" s="46" t="s">
        <v>59</v>
      </c>
      <c r="Q13" s="46" t="s">
        <v>59</v>
      </c>
      <c r="R13" s="46" t="s">
        <v>59</v>
      </c>
      <c r="S13" s="46" t="s">
        <v>59</v>
      </c>
      <c r="T13" s="22">
        <v>98.64</v>
      </c>
      <c r="U13" s="45" t="s">
        <v>59</v>
      </c>
    </row>
    <row r="14" spans="1:23" ht="24" customHeight="1" x14ac:dyDescent="0.35">
      <c r="B14" s="14" t="s">
        <v>10</v>
      </c>
      <c r="C14" s="14" t="s">
        <v>32</v>
      </c>
      <c r="D14" s="24">
        <v>83.39</v>
      </c>
      <c r="E14" s="24">
        <v>12.4</v>
      </c>
      <c r="F14" s="42">
        <v>28.14</v>
      </c>
      <c r="G14" s="42">
        <v>35.14</v>
      </c>
      <c r="H14" s="42">
        <v>28.78</v>
      </c>
      <c r="I14" s="42">
        <v>7.94</v>
      </c>
      <c r="J14" s="14" t="s">
        <v>81</v>
      </c>
      <c r="K14" s="35" t="s">
        <v>39</v>
      </c>
      <c r="L14" s="49">
        <v>0.49</v>
      </c>
      <c r="M14" s="49">
        <v>0.46</v>
      </c>
      <c r="N14" s="49">
        <v>0.05</v>
      </c>
      <c r="O14" s="49"/>
      <c r="P14" s="46">
        <v>0.39</v>
      </c>
      <c r="Q14" s="46">
        <v>0.49</v>
      </c>
      <c r="R14" s="46">
        <v>0.08</v>
      </c>
      <c r="S14" s="46">
        <v>0.04</v>
      </c>
      <c r="T14" s="22">
        <v>91.39</v>
      </c>
      <c r="U14" s="45" t="s">
        <v>43</v>
      </c>
    </row>
    <row r="15" spans="1:23" ht="24" customHeight="1" x14ac:dyDescent="0.35">
      <c r="B15" s="14" t="s">
        <v>11</v>
      </c>
      <c r="C15" s="14" t="s">
        <v>32</v>
      </c>
      <c r="D15" s="24">
        <v>94.99</v>
      </c>
      <c r="E15" s="24">
        <v>8.1</v>
      </c>
      <c r="F15" s="42">
        <v>7.24</v>
      </c>
      <c r="G15" s="42">
        <v>30.54</v>
      </c>
      <c r="H15" s="42">
        <v>42.64</v>
      </c>
      <c r="I15" s="42">
        <v>19.59</v>
      </c>
      <c r="J15" s="14" t="s">
        <v>69</v>
      </c>
      <c r="K15" s="35" t="s">
        <v>39</v>
      </c>
      <c r="L15" s="49">
        <v>0.54</v>
      </c>
      <c r="M15" s="49">
        <v>0.42</v>
      </c>
      <c r="N15" s="49">
        <v>0.04</v>
      </c>
      <c r="O15" s="49"/>
      <c r="P15" s="46">
        <v>0.27</v>
      </c>
      <c r="Q15" s="46">
        <v>0.56999999999999995</v>
      </c>
      <c r="R15" s="46">
        <v>0.1</v>
      </c>
      <c r="S15" s="46">
        <v>0.06</v>
      </c>
      <c r="T15" s="22">
        <v>95.27</v>
      </c>
      <c r="U15" s="45" t="s">
        <v>43</v>
      </c>
    </row>
    <row r="16" spans="1:23" ht="24" customHeight="1" x14ac:dyDescent="0.35">
      <c r="B16" s="14" t="s">
        <v>12</v>
      </c>
      <c r="C16" s="14" t="s">
        <v>32</v>
      </c>
      <c r="D16" s="24">
        <v>71.88</v>
      </c>
      <c r="E16" s="24">
        <v>13.9</v>
      </c>
      <c r="F16" s="42">
        <v>30.69</v>
      </c>
      <c r="G16" s="42">
        <v>46.03</v>
      </c>
      <c r="H16" s="42">
        <v>19.95</v>
      </c>
      <c r="I16" s="42">
        <v>3.33</v>
      </c>
      <c r="J16" s="14" t="s">
        <v>80</v>
      </c>
      <c r="K16" s="35">
        <v>1000</v>
      </c>
      <c r="L16" s="49">
        <v>0.65</v>
      </c>
      <c r="M16" s="49">
        <v>0.31</v>
      </c>
      <c r="N16" s="49">
        <v>0.04</v>
      </c>
      <c r="O16" s="49"/>
      <c r="P16" s="46">
        <v>0.43</v>
      </c>
      <c r="Q16" s="46">
        <v>0.48</v>
      </c>
      <c r="R16" s="46">
        <v>0.04</v>
      </c>
      <c r="S16" s="46">
        <v>0.05</v>
      </c>
      <c r="T16" s="22">
        <v>92.6</v>
      </c>
      <c r="U16" s="45" t="s">
        <v>42</v>
      </c>
    </row>
    <row r="17" spans="2:21" ht="24" customHeight="1" x14ac:dyDescent="0.35">
      <c r="B17" s="14" t="s">
        <v>13</v>
      </c>
      <c r="C17" s="14" t="s">
        <v>32</v>
      </c>
      <c r="D17" s="24">
        <v>66.92</v>
      </c>
      <c r="E17" s="24">
        <v>15.5</v>
      </c>
      <c r="F17" s="42">
        <v>19.489999999999998</v>
      </c>
      <c r="G17" s="42">
        <v>38.9</v>
      </c>
      <c r="H17" s="42">
        <v>31.93</v>
      </c>
      <c r="I17" s="42">
        <v>9.68</v>
      </c>
      <c r="J17" s="14" t="s">
        <v>79</v>
      </c>
      <c r="K17" s="35" t="s">
        <v>39</v>
      </c>
      <c r="L17" s="49">
        <v>0.56999999999999995</v>
      </c>
      <c r="M17" s="49">
        <v>0.35</v>
      </c>
      <c r="N17" s="49">
        <v>0.08</v>
      </c>
      <c r="O17" s="49"/>
      <c r="P17" s="46">
        <v>0.53</v>
      </c>
      <c r="Q17" s="46">
        <v>0.36</v>
      </c>
      <c r="R17" s="46">
        <v>0.06</v>
      </c>
      <c r="S17" s="46">
        <v>0.05</v>
      </c>
      <c r="T17" s="22">
        <v>92.12</v>
      </c>
      <c r="U17" s="45" t="s">
        <v>42</v>
      </c>
    </row>
    <row r="18" spans="2:21" ht="24" customHeight="1" x14ac:dyDescent="0.35">
      <c r="B18" s="14" t="s">
        <v>14</v>
      </c>
      <c r="C18" s="14" t="s">
        <v>32</v>
      </c>
      <c r="D18" s="24">
        <v>54.15</v>
      </c>
      <c r="E18" s="24">
        <v>0.4</v>
      </c>
      <c r="F18" s="42">
        <v>45.95</v>
      </c>
      <c r="G18" s="42">
        <v>34.56</v>
      </c>
      <c r="H18" s="42">
        <v>16.32</v>
      </c>
      <c r="I18" s="42">
        <v>3.17</v>
      </c>
      <c r="J18" s="14" t="s">
        <v>65</v>
      </c>
      <c r="K18" s="35">
        <v>500</v>
      </c>
      <c r="L18" s="49">
        <v>0.66</v>
      </c>
      <c r="M18" s="49">
        <v>0.28000000000000003</v>
      </c>
      <c r="N18" s="49">
        <v>0.06</v>
      </c>
      <c r="O18" s="49"/>
      <c r="P18" s="46">
        <v>0.54</v>
      </c>
      <c r="Q18" s="46">
        <v>0.37</v>
      </c>
      <c r="R18" s="46">
        <v>0.05</v>
      </c>
      <c r="S18" s="46">
        <v>0.04</v>
      </c>
      <c r="T18" s="22">
        <v>85.48</v>
      </c>
      <c r="U18" s="45" t="s">
        <v>43</v>
      </c>
    </row>
    <row r="19" spans="2:21" ht="24" customHeight="1" x14ac:dyDescent="0.35">
      <c r="B19" s="14" t="s">
        <v>15</v>
      </c>
      <c r="C19" s="14" t="s">
        <v>32</v>
      </c>
      <c r="D19" s="24">
        <v>86.71</v>
      </c>
      <c r="E19" s="24">
        <v>15.6</v>
      </c>
      <c r="F19" s="42">
        <v>25.87</v>
      </c>
      <c r="G19" s="42">
        <v>33.01</v>
      </c>
      <c r="H19" s="42">
        <v>29.09</v>
      </c>
      <c r="I19" s="42">
        <v>11.22</v>
      </c>
      <c r="J19" s="14" t="s">
        <v>85</v>
      </c>
      <c r="K19" s="35" t="s">
        <v>39</v>
      </c>
      <c r="L19" s="49">
        <v>0.59</v>
      </c>
      <c r="M19" s="49">
        <v>0.35</v>
      </c>
      <c r="N19" s="49">
        <v>0.06</v>
      </c>
      <c r="O19" s="49"/>
      <c r="P19" s="46">
        <v>0.49</v>
      </c>
      <c r="Q19" s="46">
        <v>0.37</v>
      </c>
      <c r="R19" s="46">
        <v>0.1</v>
      </c>
      <c r="S19" s="46">
        <v>0.04</v>
      </c>
      <c r="T19" s="22">
        <v>98.57</v>
      </c>
      <c r="U19" s="45" t="s">
        <v>43</v>
      </c>
    </row>
    <row r="20" spans="2:21" ht="24" customHeight="1" x14ac:dyDescent="0.35">
      <c r="B20" s="14" t="s">
        <v>16</v>
      </c>
      <c r="C20" s="14" t="s">
        <v>32</v>
      </c>
      <c r="D20" s="24">
        <v>55.01</v>
      </c>
      <c r="E20" s="24">
        <v>23.2</v>
      </c>
      <c r="F20" s="42">
        <v>29.28</v>
      </c>
      <c r="G20" s="42">
        <v>43.48</v>
      </c>
      <c r="H20" s="42">
        <v>23.34</v>
      </c>
      <c r="I20" s="42">
        <v>3.9</v>
      </c>
      <c r="J20" s="14" t="s">
        <v>78</v>
      </c>
      <c r="K20" s="35">
        <v>5000</v>
      </c>
      <c r="L20" s="49">
        <v>0.57999999999999996</v>
      </c>
      <c r="M20" s="49">
        <v>0.37</v>
      </c>
      <c r="N20" s="49">
        <v>0.05</v>
      </c>
      <c r="O20" s="49"/>
      <c r="P20" s="46">
        <v>0.61</v>
      </c>
      <c r="Q20" s="46">
        <v>0.32</v>
      </c>
      <c r="R20" s="46">
        <v>0.04</v>
      </c>
      <c r="S20" s="46">
        <v>0.03</v>
      </c>
      <c r="T20" s="22">
        <v>88.06</v>
      </c>
      <c r="U20" s="45" t="s">
        <v>42</v>
      </c>
    </row>
    <row r="21" spans="2:21" ht="24" customHeight="1" x14ac:dyDescent="0.35">
      <c r="B21" s="14" t="s">
        <v>17</v>
      </c>
      <c r="C21" s="14" t="s">
        <v>32</v>
      </c>
      <c r="D21" s="24">
        <v>84.95</v>
      </c>
      <c r="E21" s="24">
        <v>36.799999999999997</v>
      </c>
      <c r="F21" s="42">
        <v>39.9</v>
      </c>
      <c r="G21" s="42">
        <v>32.74</v>
      </c>
      <c r="H21" s="42">
        <v>22.04</v>
      </c>
      <c r="I21" s="42">
        <v>5.31</v>
      </c>
      <c r="J21" s="14" t="s">
        <v>77</v>
      </c>
      <c r="K21" s="35">
        <v>7200</v>
      </c>
      <c r="L21" s="49">
        <v>0.51</v>
      </c>
      <c r="M21" s="49">
        <v>0.46</v>
      </c>
      <c r="N21" s="49">
        <v>0.03</v>
      </c>
      <c r="O21" s="49"/>
      <c r="P21" s="46">
        <v>0.45</v>
      </c>
      <c r="Q21" s="46">
        <v>0.44</v>
      </c>
      <c r="R21" s="46">
        <v>0.08</v>
      </c>
      <c r="S21" s="46">
        <v>0.03</v>
      </c>
      <c r="T21" s="22">
        <v>92.32</v>
      </c>
      <c r="U21" s="45" t="s">
        <v>43</v>
      </c>
    </row>
    <row r="22" spans="2:21" ht="24" customHeight="1" x14ac:dyDescent="0.35">
      <c r="B22" s="14" t="s">
        <v>18</v>
      </c>
      <c r="C22" s="14" t="s">
        <v>32</v>
      </c>
      <c r="D22" s="24">
        <v>79.63</v>
      </c>
      <c r="E22" s="24">
        <v>22.4</v>
      </c>
      <c r="F22" s="42">
        <v>32.700000000000003</v>
      </c>
      <c r="G22" s="42">
        <v>37.92</v>
      </c>
      <c r="H22" s="42">
        <v>23.7</v>
      </c>
      <c r="I22" s="42">
        <v>5.68</v>
      </c>
      <c r="J22" s="14" t="s">
        <v>64</v>
      </c>
      <c r="K22" s="35">
        <v>3000</v>
      </c>
      <c r="L22" s="49">
        <v>0.6</v>
      </c>
      <c r="M22" s="49">
        <v>0.38</v>
      </c>
      <c r="N22" s="49">
        <v>0.02</v>
      </c>
      <c r="O22" s="49"/>
      <c r="P22" s="46">
        <v>0.54</v>
      </c>
      <c r="Q22" s="46">
        <v>0.37</v>
      </c>
      <c r="R22" s="46">
        <v>7.0000000000000007E-2</v>
      </c>
      <c r="S22" s="46">
        <v>0.02</v>
      </c>
      <c r="T22" s="22">
        <v>88.7</v>
      </c>
      <c r="U22" s="45" t="s">
        <v>43</v>
      </c>
    </row>
    <row r="23" spans="2:21" ht="24" customHeight="1" x14ac:dyDescent="0.35">
      <c r="B23" s="14" t="s">
        <v>19</v>
      </c>
      <c r="C23" s="14" t="s">
        <v>32</v>
      </c>
      <c r="D23" s="24">
        <v>76.06</v>
      </c>
      <c r="E23" s="24">
        <v>18.7</v>
      </c>
      <c r="F23" s="42">
        <v>28.73</v>
      </c>
      <c r="G23" s="42">
        <v>35.71</v>
      </c>
      <c r="H23" s="42">
        <v>28.24</v>
      </c>
      <c r="I23" s="42">
        <v>7.32</v>
      </c>
      <c r="J23" s="14" t="s">
        <v>76</v>
      </c>
      <c r="K23" s="35" t="s">
        <v>39</v>
      </c>
      <c r="L23" s="49">
        <v>0.54</v>
      </c>
      <c r="M23" s="49">
        <v>0.41</v>
      </c>
      <c r="N23" s="49">
        <v>0.05</v>
      </c>
      <c r="O23" s="49"/>
      <c r="P23" s="46">
        <v>0.37</v>
      </c>
      <c r="Q23" s="46">
        <v>0.49</v>
      </c>
      <c r="R23" s="46">
        <v>0.09</v>
      </c>
      <c r="S23" s="46">
        <v>0.05</v>
      </c>
      <c r="T23" s="22">
        <v>96.18</v>
      </c>
      <c r="U23" s="45" t="s">
        <v>43</v>
      </c>
    </row>
    <row r="24" spans="2:21" ht="24" customHeight="1" x14ac:dyDescent="0.35">
      <c r="B24" s="14" t="s">
        <v>20</v>
      </c>
      <c r="C24" s="14" t="s">
        <v>32</v>
      </c>
      <c r="D24" s="24">
        <v>73.900000000000006</v>
      </c>
      <c r="E24" s="24">
        <v>15.8</v>
      </c>
      <c r="F24" s="42">
        <v>18.28</v>
      </c>
      <c r="G24" s="42">
        <v>33.6</v>
      </c>
      <c r="H24" s="42">
        <v>34.36</v>
      </c>
      <c r="I24" s="42">
        <v>13.76</v>
      </c>
      <c r="J24" s="14" t="s">
        <v>75</v>
      </c>
      <c r="K24" s="35">
        <v>10000</v>
      </c>
      <c r="L24" s="49">
        <v>0.61</v>
      </c>
      <c r="M24" s="49">
        <v>0.34</v>
      </c>
      <c r="N24" s="49">
        <v>0.05</v>
      </c>
      <c r="O24" s="49"/>
      <c r="P24" s="46">
        <v>0.67</v>
      </c>
      <c r="Q24" s="46">
        <v>0.25</v>
      </c>
      <c r="R24" s="46">
        <v>0.06</v>
      </c>
      <c r="S24" s="46">
        <v>0.02</v>
      </c>
      <c r="T24" s="22">
        <v>92.75</v>
      </c>
      <c r="U24" s="45" t="s">
        <v>42</v>
      </c>
    </row>
    <row r="25" spans="2:21" ht="24" customHeight="1" x14ac:dyDescent="0.35">
      <c r="B25" s="14" t="s">
        <v>21</v>
      </c>
      <c r="C25" s="14" t="s">
        <v>32</v>
      </c>
      <c r="D25" s="24">
        <v>96.35</v>
      </c>
      <c r="E25" s="24">
        <v>11.8</v>
      </c>
      <c r="F25" s="42">
        <v>18.54</v>
      </c>
      <c r="G25" s="42">
        <v>35.56</v>
      </c>
      <c r="H25" s="42">
        <v>33.770000000000003</v>
      </c>
      <c r="I25" s="42">
        <v>12.13</v>
      </c>
      <c r="J25" s="14" t="s">
        <v>74</v>
      </c>
      <c r="K25" s="35" t="s">
        <v>39</v>
      </c>
      <c r="L25" s="49">
        <v>0.32</v>
      </c>
      <c r="M25" s="49">
        <v>0.6</v>
      </c>
      <c r="N25" s="49">
        <v>0.08</v>
      </c>
      <c r="O25" s="49"/>
      <c r="P25" s="46">
        <v>0.22</v>
      </c>
      <c r="Q25" s="46">
        <v>0.56000000000000005</v>
      </c>
      <c r="R25" s="46">
        <v>0.19</v>
      </c>
      <c r="S25" s="46">
        <v>0.03</v>
      </c>
      <c r="T25" s="22">
        <v>99.22</v>
      </c>
      <c r="U25" s="45" t="s">
        <v>43</v>
      </c>
    </row>
    <row r="26" spans="2:21" ht="24" customHeight="1" x14ac:dyDescent="0.35">
      <c r="B26" s="14" t="s">
        <v>22</v>
      </c>
      <c r="C26" s="14" t="s">
        <v>33</v>
      </c>
      <c r="D26" s="24">
        <v>56.75</v>
      </c>
      <c r="E26" s="24">
        <v>3.7</v>
      </c>
      <c r="F26" s="42">
        <v>29.99</v>
      </c>
      <c r="G26" s="42">
        <v>36.79</v>
      </c>
      <c r="H26" s="42">
        <v>27.32</v>
      </c>
      <c r="I26" s="42">
        <v>5.89</v>
      </c>
      <c r="J26" s="14" t="s">
        <v>73</v>
      </c>
      <c r="K26" s="35">
        <v>3300</v>
      </c>
      <c r="L26" s="49" t="s">
        <v>59</v>
      </c>
      <c r="M26" s="49" t="s">
        <v>59</v>
      </c>
      <c r="N26" s="49" t="s">
        <v>59</v>
      </c>
      <c r="O26" s="49"/>
      <c r="P26" s="46" t="s">
        <v>59</v>
      </c>
      <c r="Q26" s="46" t="s">
        <v>59</v>
      </c>
      <c r="R26" s="46" t="s">
        <v>59</v>
      </c>
      <c r="S26" s="46" t="s">
        <v>59</v>
      </c>
      <c r="T26" s="22">
        <v>87.65</v>
      </c>
      <c r="U26" s="45" t="s">
        <v>59</v>
      </c>
    </row>
    <row r="27" spans="2:21" ht="24" customHeight="1" x14ac:dyDescent="0.35">
      <c r="B27" s="14" t="s">
        <v>23</v>
      </c>
      <c r="C27" s="14" t="s">
        <v>32</v>
      </c>
      <c r="D27" s="24">
        <v>63.49</v>
      </c>
      <c r="E27" s="24">
        <v>18.2</v>
      </c>
      <c r="F27" s="42">
        <v>25.21</v>
      </c>
      <c r="G27" s="42">
        <v>36.700000000000003</v>
      </c>
      <c r="H27" s="42">
        <v>30.24</v>
      </c>
      <c r="I27" s="42">
        <v>7.85</v>
      </c>
      <c r="J27" s="14" t="s">
        <v>60</v>
      </c>
      <c r="K27" s="35">
        <v>3000</v>
      </c>
      <c r="L27" s="49">
        <v>0.69</v>
      </c>
      <c r="M27" s="49">
        <v>0.25</v>
      </c>
      <c r="N27" s="49">
        <v>0.06</v>
      </c>
      <c r="O27" s="49"/>
      <c r="P27" s="46">
        <v>0.54</v>
      </c>
      <c r="Q27" s="46">
        <v>0.38</v>
      </c>
      <c r="R27" s="46">
        <v>0.04</v>
      </c>
      <c r="S27" s="46">
        <v>0.04</v>
      </c>
      <c r="T27" s="22">
        <v>87.19</v>
      </c>
      <c r="U27" s="45" t="s">
        <v>42</v>
      </c>
    </row>
    <row r="28" spans="2:21" ht="24" customHeight="1" x14ac:dyDescent="0.35">
      <c r="B28" s="14" t="s">
        <v>24</v>
      </c>
      <c r="C28" s="14" t="s">
        <v>33</v>
      </c>
      <c r="D28" s="24">
        <v>27.72</v>
      </c>
      <c r="E28" s="24">
        <v>2.1</v>
      </c>
      <c r="F28" s="42">
        <v>30.11</v>
      </c>
      <c r="G28" s="42">
        <v>46.89</v>
      </c>
      <c r="H28" s="42">
        <v>20.48</v>
      </c>
      <c r="I28" s="42">
        <v>2.52</v>
      </c>
      <c r="J28" s="14" t="s">
        <v>61</v>
      </c>
      <c r="K28" s="35">
        <v>2000</v>
      </c>
      <c r="L28" s="49" t="s">
        <v>59</v>
      </c>
      <c r="M28" s="49" t="s">
        <v>59</v>
      </c>
      <c r="N28" s="49" t="s">
        <v>59</v>
      </c>
      <c r="O28" s="49"/>
      <c r="P28" s="46" t="s">
        <v>59</v>
      </c>
      <c r="Q28" s="46" t="s">
        <v>59</v>
      </c>
      <c r="R28" s="46" t="s">
        <v>59</v>
      </c>
      <c r="S28" s="46" t="s">
        <v>59</v>
      </c>
      <c r="T28" s="34">
        <v>90.44</v>
      </c>
      <c r="U28" s="45" t="s">
        <v>59</v>
      </c>
    </row>
    <row r="29" spans="2:21" ht="24" customHeight="1" x14ac:dyDescent="0.35">
      <c r="B29" s="14" t="s">
        <v>25</v>
      </c>
      <c r="C29" s="14" t="s">
        <v>32</v>
      </c>
      <c r="D29" s="24">
        <v>57.99</v>
      </c>
      <c r="E29" s="24">
        <v>13.6</v>
      </c>
      <c r="F29" s="42">
        <v>35.78</v>
      </c>
      <c r="G29" s="42">
        <v>35.520000000000003</v>
      </c>
      <c r="H29" s="42">
        <v>23.77</v>
      </c>
      <c r="I29" s="42">
        <v>4.93</v>
      </c>
      <c r="J29" s="14" t="s">
        <v>72</v>
      </c>
      <c r="K29" s="35">
        <v>5000</v>
      </c>
      <c r="L29" s="49">
        <v>0.57999999999999996</v>
      </c>
      <c r="M29" s="49">
        <v>0.38</v>
      </c>
      <c r="N29" s="49">
        <v>0.04</v>
      </c>
      <c r="O29" s="49"/>
      <c r="P29" s="46">
        <v>0.56999999999999995</v>
      </c>
      <c r="Q29" s="46">
        <v>0.32</v>
      </c>
      <c r="R29" s="46">
        <v>0.08</v>
      </c>
      <c r="S29" s="46">
        <v>0.03</v>
      </c>
      <c r="T29" s="22">
        <v>88.87</v>
      </c>
      <c r="U29" s="45" t="s">
        <v>43</v>
      </c>
    </row>
    <row r="30" spans="2:21" ht="21" customHeight="1" x14ac:dyDescent="0.35">
      <c r="B30" s="14" t="s">
        <v>27</v>
      </c>
      <c r="C30" s="15" t="s">
        <v>32</v>
      </c>
      <c r="D30" s="25">
        <v>63.97</v>
      </c>
      <c r="E30" s="25">
        <v>15.7</v>
      </c>
      <c r="F30" s="43">
        <v>31.49</v>
      </c>
      <c r="G30" s="43">
        <v>35</v>
      </c>
      <c r="H30" s="43">
        <v>25.6</v>
      </c>
      <c r="I30" s="43">
        <v>7.9</v>
      </c>
      <c r="J30" s="15" t="s">
        <v>62</v>
      </c>
      <c r="K30" s="36">
        <v>5000</v>
      </c>
      <c r="L30" s="50">
        <v>0.56999999999999995</v>
      </c>
      <c r="M30" s="50">
        <v>0.37</v>
      </c>
      <c r="N30" s="50">
        <v>0.06</v>
      </c>
      <c r="O30" s="50"/>
      <c r="P30" s="47">
        <v>0.64</v>
      </c>
      <c r="Q30" s="47">
        <v>0.28999999999999998</v>
      </c>
      <c r="R30" s="47">
        <v>0.03</v>
      </c>
      <c r="S30" s="47">
        <v>0.04</v>
      </c>
      <c r="T30" s="23">
        <v>89.65</v>
      </c>
      <c r="U30" s="45" t="s">
        <v>42</v>
      </c>
    </row>
    <row r="31" spans="2:21" ht="21" customHeight="1" x14ac:dyDescent="0.35">
      <c r="B31" s="14" t="s">
        <v>28</v>
      </c>
      <c r="C31" s="15" t="s">
        <v>32</v>
      </c>
      <c r="D31" s="25">
        <v>74.959999999999994</v>
      </c>
      <c r="E31" s="25">
        <v>20.6</v>
      </c>
      <c r="F31" s="43">
        <v>25.19</v>
      </c>
      <c r="G31" s="43">
        <v>41.46</v>
      </c>
      <c r="H31" s="43">
        <v>26.63</v>
      </c>
      <c r="I31" s="43">
        <v>6.73</v>
      </c>
      <c r="J31" s="15" t="s">
        <v>71</v>
      </c>
      <c r="K31" s="36">
        <v>1000</v>
      </c>
      <c r="L31" s="50">
        <v>0.69</v>
      </c>
      <c r="M31" s="50">
        <v>0.25</v>
      </c>
      <c r="N31" s="50">
        <v>0.06</v>
      </c>
      <c r="O31" s="50"/>
      <c r="P31" s="47">
        <v>0.56999999999999995</v>
      </c>
      <c r="Q31" s="47">
        <v>0.32</v>
      </c>
      <c r="R31" s="47">
        <v>7.0000000000000007E-2</v>
      </c>
      <c r="S31" s="47">
        <v>0.04</v>
      </c>
      <c r="T31" s="23">
        <v>94.98</v>
      </c>
      <c r="U31" s="45" t="s">
        <v>43</v>
      </c>
    </row>
    <row r="32" spans="2:21" ht="21" customHeight="1" x14ac:dyDescent="0.35">
      <c r="B32" s="14" t="s">
        <v>29</v>
      </c>
      <c r="C32" s="15" t="s">
        <v>33</v>
      </c>
      <c r="D32" s="25">
        <v>83.07</v>
      </c>
      <c r="E32" s="25">
        <v>27.1</v>
      </c>
      <c r="F32" s="43">
        <v>12.98</v>
      </c>
      <c r="G32" s="43">
        <v>31.68</v>
      </c>
      <c r="H32" s="43">
        <v>41.45</v>
      </c>
      <c r="I32" s="43">
        <v>13.89</v>
      </c>
      <c r="J32" s="15" t="s">
        <v>70</v>
      </c>
      <c r="K32" s="36">
        <v>1000</v>
      </c>
      <c r="L32" s="50" t="s">
        <v>59</v>
      </c>
      <c r="M32" s="50" t="s">
        <v>59</v>
      </c>
      <c r="N32" s="50" t="s">
        <v>59</v>
      </c>
      <c r="O32" s="50"/>
      <c r="P32" s="47" t="s">
        <v>59</v>
      </c>
      <c r="Q32" s="47" t="s">
        <v>59</v>
      </c>
      <c r="R32" s="47" t="s">
        <v>59</v>
      </c>
      <c r="S32" s="47" t="s">
        <v>59</v>
      </c>
      <c r="T32" s="23">
        <v>97.28</v>
      </c>
      <c r="U32" s="45" t="s">
        <v>59</v>
      </c>
    </row>
    <row r="33" spans="1:21" ht="21" customHeight="1" thickBot="1" x14ac:dyDescent="0.4">
      <c r="B33" s="14" t="s">
        <v>30</v>
      </c>
      <c r="C33" s="15" t="s">
        <v>33</v>
      </c>
      <c r="D33" s="25">
        <v>66.849999999999994</v>
      </c>
      <c r="E33" s="25">
        <v>4.2</v>
      </c>
      <c r="F33" s="43">
        <v>41.53</v>
      </c>
      <c r="G33" s="43">
        <v>34.58</v>
      </c>
      <c r="H33" s="43">
        <v>19.68</v>
      </c>
      <c r="I33" s="43">
        <v>4.21</v>
      </c>
      <c r="J33" s="15" t="s">
        <v>63</v>
      </c>
      <c r="K33" s="36" t="s">
        <v>39</v>
      </c>
      <c r="L33" s="50" t="s">
        <v>59</v>
      </c>
      <c r="M33" s="50" t="s">
        <v>59</v>
      </c>
      <c r="N33" s="50" t="s">
        <v>59</v>
      </c>
      <c r="O33" s="50"/>
      <c r="P33" s="47" t="s">
        <v>59</v>
      </c>
      <c r="Q33" s="47" t="s">
        <v>59</v>
      </c>
      <c r="R33" s="47" t="s">
        <v>59</v>
      </c>
      <c r="S33" s="47" t="s">
        <v>59</v>
      </c>
      <c r="T33" s="23">
        <v>93.02</v>
      </c>
      <c r="U33" s="45" t="s">
        <v>59</v>
      </c>
    </row>
    <row r="34" spans="1:21" s="30" customFormat="1" ht="21" customHeight="1" thickBot="1" x14ac:dyDescent="0.4">
      <c r="A34" s="27"/>
      <c r="B34" s="20" t="s">
        <v>31</v>
      </c>
      <c r="C34" s="21">
        <v>20</v>
      </c>
      <c r="D34" s="28">
        <f t="shared" ref="D34:I34" si="0">AVERAGE(D7:D33)</f>
        <v>71.675555555555562</v>
      </c>
      <c r="E34" s="28">
        <f t="shared" si="0"/>
        <v>15.601481481481482</v>
      </c>
      <c r="F34" s="28">
        <f t="shared" si="0"/>
        <v>27.667777777777783</v>
      </c>
      <c r="G34" s="28">
        <f t="shared" si="0"/>
        <v>36.355925925925924</v>
      </c>
      <c r="H34" s="28">
        <f t="shared" si="0"/>
        <v>27.674074074074074</v>
      </c>
      <c r="I34" s="28">
        <f t="shared" si="0"/>
        <v>8.2725925925925914</v>
      </c>
      <c r="J34" s="28" t="s">
        <v>87</v>
      </c>
      <c r="K34" s="37" t="s">
        <v>57</v>
      </c>
      <c r="L34" s="48">
        <f>AVERAGE(L7:L33)</f>
        <v>0.57399999999999995</v>
      </c>
      <c r="M34" s="48">
        <f>AVERAGE(M7:M33)</f>
        <v>0.3735</v>
      </c>
      <c r="N34" s="48">
        <f>AVERAGE(N7:N33)</f>
        <v>5.2500000000000012E-2</v>
      </c>
      <c r="O34" s="37"/>
      <c r="P34" s="48">
        <f>AVERAGEIF(P7:P33, "&lt;&gt;")</f>
        <v>0.49350000000000005</v>
      </c>
      <c r="Q34" s="48">
        <f>AVERAGEIF(Q7:Q33, "&lt;&gt;")</f>
        <v>0.40100000000000008</v>
      </c>
      <c r="R34" s="48">
        <f t="shared" ref="R34:S34" si="1">AVERAGEIF(R7:R33, "&lt;&gt;")</f>
        <v>6.7500000000000004E-2</v>
      </c>
      <c r="S34" s="48">
        <f t="shared" si="1"/>
        <v>3.8000000000000013E-2</v>
      </c>
      <c r="T34" s="29">
        <f>AVERAGE(T7:T33)</f>
        <v>91.789259259259268</v>
      </c>
      <c r="U34" s="40" t="s">
        <v>57</v>
      </c>
    </row>
    <row r="35" spans="1:21" ht="21" hidden="1" customHeight="1" x14ac:dyDescent="0.35">
      <c r="B35" s="14"/>
      <c r="I35" s="19"/>
      <c r="U35" s="39"/>
    </row>
    <row r="36" spans="1:21" ht="41.5" hidden="1" customHeight="1" x14ac:dyDescent="0.35">
      <c r="B36" s="14"/>
      <c r="I36" s="38"/>
      <c r="T36" s="26"/>
      <c r="U36" s="39"/>
    </row>
    <row r="37" spans="1:21" ht="21" hidden="1" customHeight="1" x14ac:dyDescent="0.35">
      <c r="B37" s="14"/>
      <c r="I37" s="19"/>
      <c r="U37" s="39"/>
    </row>
    <row r="38" spans="1:21" ht="21" hidden="1" customHeight="1" x14ac:dyDescent="0.35">
      <c r="B38" s="14"/>
      <c r="I38" s="19"/>
      <c r="U38" s="39"/>
    </row>
    <row r="39" spans="1:21" ht="21" hidden="1" customHeight="1" x14ac:dyDescent="0.35">
      <c r="B39" s="14"/>
      <c r="I39" s="19"/>
      <c r="U39" s="39"/>
    </row>
    <row r="40" spans="1:21" ht="21" hidden="1" customHeight="1" x14ac:dyDescent="0.35">
      <c r="B40" s="14"/>
      <c r="I40" s="19"/>
      <c r="U40" s="39"/>
    </row>
    <row r="41" spans="1:21" ht="21" hidden="1" customHeight="1" x14ac:dyDescent="0.35">
      <c r="B41" s="14"/>
      <c r="I41" s="19"/>
      <c r="U41" s="39"/>
    </row>
    <row r="42" spans="1:21" ht="21" hidden="1" customHeight="1" x14ac:dyDescent="0.35">
      <c r="B42" s="14"/>
      <c r="I42" s="19"/>
      <c r="U42" s="39"/>
    </row>
    <row r="43" spans="1:21" ht="21" hidden="1" customHeight="1" x14ac:dyDescent="0.35">
      <c r="B43" s="14"/>
      <c r="I43" s="19"/>
      <c r="U43" s="39"/>
    </row>
    <row r="44" spans="1:21" ht="21" hidden="1" customHeight="1" x14ac:dyDescent="0.35">
      <c r="B44" s="14"/>
      <c r="I44" s="19"/>
      <c r="U44" s="39"/>
    </row>
    <row r="45" spans="1:21" ht="21" hidden="1" customHeight="1" x14ac:dyDescent="0.35">
      <c r="B45" s="14"/>
      <c r="I45" s="19"/>
      <c r="U45" s="39"/>
    </row>
    <row r="46" spans="1:21" ht="21" hidden="1" customHeight="1" x14ac:dyDescent="0.35">
      <c r="B46" s="14"/>
      <c r="I46" s="19"/>
      <c r="U46" s="57"/>
    </row>
    <row r="47" spans="1:21" ht="21" customHeight="1" x14ac:dyDescent="0.35">
      <c r="B47" s="97" t="s">
        <v>52</v>
      </c>
      <c r="C47" s="101" t="s">
        <v>124</v>
      </c>
      <c r="D47" s="101" t="s">
        <v>113</v>
      </c>
      <c r="E47" s="101" t="s">
        <v>50</v>
      </c>
      <c r="F47" s="88" t="s">
        <v>108</v>
      </c>
      <c r="G47" s="89"/>
      <c r="H47" s="89"/>
      <c r="I47" s="90"/>
      <c r="J47" s="101" t="s">
        <v>49</v>
      </c>
      <c r="K47" s="104" t="s">
        <v>51</v>
      </c>
      <c r="L47" s="110" t="s">
        <v>89</v>
      </c>
      <c r="M47" s="111"/>
      <c r="N47" s="112"/>
      <c r="O47" s="58"/>
      <c r="P47" s="110" t="s">
        <v>121</v>
      </c>
      <c r="Q47" s="111"/>
      <c r="R47" s="111"/>
      <c r="S47" s="112"/>
      <c r="T47" s="107" t="s">
        <v>105</v>
      </c>
      <c r="U47" s="107" t="s">
        <v>106</v>
      </c>
    </row>
    <row r="48" spans="1:21" ht="21" customHeight="1" x14ac:dyDescent="0.35">
      <c r="B48" s="98"/>
      <c r="C48" s="102"/>
      <c r="D48" s="102"/>
      <c r="E48" s="102"/>
      <c r="F48" s="91"/>
      <c r="G48" s="92"/>
      <c r="H48" s="92"/>
      <c r="I48" s="93"/>
      <c r="J48" s="102"/>
      <c r="K48" s="105"/>
      <c r="L48" s="113"/>
      <c r="M48" s="114"/>
      <c r="N48" s="115"/>
      <c r="O48" s="59"/>
      <c r="P48" s="113"/>
      <c r="Q48" s="114"/>
      <c r="R48" s="114"/>
      <c r="S48" s="115"/>
      <c r="T48" s="108"/>
      <c r="U48" s="108"/>
    </row>
    <row r="49" spans="2:21" ht="21" customHeight="1" x14ac:dyDescent="0.35">
      <c r="B49" s="98"/>
      <c r="C49" s="102"/>
      <c r="D49" s="102"/>
      <c r="E49" s="102"/>
      <c r="F49" s="91"/>
      <c r="G49" s="92"/>
      <c r="H49" s="92"/>
      <c r="I49" s="93"/>
      <c r="J49" s="102"/>
      <c r="K49" s="105"/>
      <c r="L49" s="113"/>
      <c r="M49" s="114"/>
      <c r="N49" s="115"/>
      <c r="O49" s="59"/>
      <c r="P49" s="113"/>
      <c r="Q49" s="114"/>
      <c r="R49" s="114"/>
      <c r="S49" s="115"/>
      <c r="T49" s="108"/>
      <c r="U49" s="108"/>
    </row>
    <row r="50" spans="2:21" ht="21" customHeight="1" thickBot="1" x14ac:dyDescent="0.4">
      <c r="B50" s="98"/>
      <c r="C50" s="102"/>
      <c r="D50" s="102"/>
      <c r="E50" s="102"/>
      <c r="F50" s="91"/>
      <c r="G50" s="92"/>
      <c r="H50" s="92"/>
      <c r="I50" s="93"/>
      <c r="J50" s="103"/>
      <c r="K50" s="106"/>
      <c r="L50" s="116"/>
      <c r="M50" s="117"/>
      <c r="N50" s="118"/>
      <c r="O50" s="56"/>
      <c r="P50" s="116"/>
      <c r="Q50" s="117"/>
      <c r="R50" s="117"/>
      <c r="S50" s="118"/>
      <c r="T50" s="109"/>
      <c r="U50" s="109"/>
    </row>
    <row r="51" spans="2:21" ht="21" customHeight="1" x14ac:dyDescent="0.35">
      <c r="B51" s="97" t="s">
        <v>53</v>
      </c>
      <c r="C51" s="101" t="s">
        <v>54</v>
      </c>
      <c r="D51" s="101" t="s">
        <v>54</v>
      </c>
      <c r="E51" s="101" t="s">
        <v>55</v>
      </c>
      <c r="F51" s="88" t="s">
        <v>54</v>
      </c>
      <c r="G51" s="89"/>
      <c r="H51" s="89"/>
      <c r="I51" s="90"/>
      <c r="J51" s="101" t="s">
        <v>35</v>
      </c>
      <c r="K51" s="104" t="s">
        <v>38</v>
      </c>
      <c r="L51" s="110" t="s">
        <v>88</v>
      </c>
      <c r="M51" s="111"/>
      <c r="N51" s="112"/>
      <c r="O51" s="59"/>
      <c r="P51" s="110" t="s">
        <v>103</v>
      </c>
      <c r="Q51" s="111"/>
      <c r="R51" s="111"/>
      <c r="S51" s="112"/>
      <c r="T51" s="107" t="s">
        <v>54</v>
      </c>
      <c r="U51" s="107" t="s">
        <v>104</v>
      </c>
    </row>
    <row r="52" spans="2:21" ht="21" customHeight="1" x14ac:dyDescent="0.35">
      <c r="B52" s="98"/>
      <c r="C52" s="102"/>
      <c r="D52" s="102"/>
      <c r="E52" s="102"/>
      <c r="F52" s="91"/>
      <c r="G52" s="92"/>
      <c r="H52" s="92"/>
      <c r="I52" s="93"/>
      <c r="J52" s="102"/>
      <c r="K52" s="105"/>
      <c r="L52" s="113"/>
      <c r="M52" s="114"/>
      <c r="N52" s="115"/>
      <c r="O52" s="56"/>
      <c r="P52" s="113"/>
      <c r="Q52" s="114"/>
      <c r="R52" s="114"/>
      <c r="S52" s="115"/>
      <c r="T52" s="108"/>
      <c r="U52" s="108"/>
    </row>
    <row r="53" spans="2:21" ht="21" customHeight="1" x14ac:dyDescent="0.35">
      <c r="B53" s="98"/>
      <c r="C53" s="102"/>
      <c r="D53" s="102"/>
      <c r="E53" s="102"/>
      <c r="F53" s="91"/>
      <c r="G53" s="92"/>
      <c r="H53" s="92"/>
      <c r="I53" s="93"/>
      <c r="J53" s="102"/>
      <c r="K53" s="105"/>
      <c r="L53" s="113"/>
      <c r="M53" s="114"/>
      <c r="N53" s="115"/>
      <c r="O53" s="56"/>
      <c r="P53" s="113"/>
      <c r="Q53" s="114"/>
      <c r="R53" s="114"/>
      <c r="S53" s="115"/>
      <c r="T53" s="108"/>
      <c r="U53" s="108"/>
    </row>
    <row r="54" spans="2:21" ht="21" customHeight="1" thickBot="1" x14ac:dyDescent="0.4">
      <c r="B54" s="138"/>
      <c r="C54" s="103"/>
      <c r="D54" s="103"/>
      <c r="E54" s="103"/>
      <c r="F54" s="94"/>
      <c r="G54" s="95"/>
      <c r="H54" s="95"/>
      <c r="I54" s="96"/>
      <c r="J54" s="103"/>
      <c r="K54" s="106"/>
      <c r="L54" s="116"/>
      <c r="M54" s="117"/>
      <c r="N54" s="118"/>
      <c r="O54" s="60"/>
      <c r="P54" s="116"/>
      <c r="Q54" s="117"/>
      <c r="R54" s="117"/>
      <c r="S54" s="118"/>
      <c r="T54" s="109"/>
      <c r="U54" s="109"/>
    </row>
    <row r="55" spans="2:21" ht="21" customHeight="1" x14ac:dyDescent="0.35">
      <c r="B55" s="119" t="s">
        <v>110</v>
      </c>
      <c r="C55" s="122"/>
      <c r="D55" s="122" t="s">
        <v>114</v>
      </c>
      <c r="E55" s="125" t="s">
        <v>125</v>
      </c>
      <c r="F55" s="126" t="s">
        <v>116</v>
      </c>
      <c r="G55" s="127"/>
      <c r="H55" s="127"/>
      <c r="I55" s="128"/>
      <c r="J55" s="122" t="s">
        <v>117</v>
      </c>
      <c r="K55" s="135" t="s">
        <v>119</v>
      </c>
      <c r="L55" s="140" t="s">
        <v>120</v>
      </c>
      <c r="M55" s="141"/>
      <c r="N55" s="142"/>
      <c r="O55" s="85"/>
      <c r="P55" s="140" t="s">
        <v>101</v>
      </c>
      <c r="Q55" s="141"/>
      <c r="R55" s="141"/>
      <c r="S55" s="142"/>
      <c r="T55" s="149" t="s">
        <v>122</v>
      </c>
      <c r="U55" s="158" t="s">
        <v>123</v>
      </c>
    </row>
    <row r="56" spans="2:21" ht="21" customHeight="1" x14ac:dyDescent="0.35">
      <c r="B56" s="120"/>
      <c r="C56" s="123"/>
      <c r="D56" s="123"/>
      <c r="E56" s="123"/>
      <c r="F56" s="129"/>
      <c r="G56" s="130"/>
      <c r="H56" s="130"/>
      <c r="I56" s="131"/>
      <c r="J56" s="123"/>
      <c r="K56" s="136"/>
      <c r="L56" s="143"/>
      <c r="M56" s="144"/>
      <c r="N56" s="145"/>
      <c r="O56" s="86"/>
      <c r="P56" s="143"/>
      <c r="Q56" s="144"/>
      <c r="R56" s="144"/>
      <c r="S56" s="145"/>
      <c r="T56" s="150"/>
      <c r="U56" s="159"/>
    </row>
    <row r="57" spans="2:21" ht="21" customHeight="1" x14ac:dyDescent="0.35">
      <c r="B57" s="120"/>
      <c r="C57" s="123"/>
      <c r="D57" s="123"/>
      <c r="E57" s="123"/>
      <c r="F57" s="129"/>
      <c r="G57" s="130"/>
      <c r="H57" s="130"/>
      <c r="I57" s="131"/>
      <c r="J57" s="123"/>
      <c r="K57" s="136"/>
      <c r="L57" s="143"/>
      <c r="M57" s="144"/>
      <c r="N57" s="145"/>
      <c r="O57" s="86"/>
      <c r="P57" s="143"/>
      <c r="Q57" s="144"/>
      <c r="R57" s="144"/>
      <c r="S57" s="145"/>
      <c r="T57" s="150"/>
      <c r="U57" s="159"/>
    </row>
    <row r="58" spans="2:21" ht="21" customHeight="1" thickBot="1" x14ac:dyDescent="0.4">
      <c r="B58" s="121"/>
      <c r="C58" s="124"/>
      <c r="D58" s="124"/>
      <c r="E58" s="124"/>
      <c r="F58" s="132"/>
      <c r="G58" s="133"/>
      <c r="H58" s="133"/>
      <c r="I58" s="134"/>
      <c r="J58" s="124"/>
      <c r="K58" s="137"/>
      <c r="L58" s="146"/>
      <c r="M58" s="147"/>
      <c r="N58" s="148"/>
      <c r="O58" s="87"/>
      <c r="P58" s="146"/>
      <c r="Q58" s="147"/>
      <c r="R58" s="147"/>
      <c r="S58" s="148"/>
      <c r="T58" s="151"/>
      <c r="U58" s="160"/>
    </row>
    <row r="59" spans="2:21" ht="21" customHeight="1" x14ac:dyDescent="0.35">
      <c r="B59" s="97" t="s">
        <v>118</v>
      </c>
      <c r="C59" s="101"/>
      <c r="D59" s="101"/>
      <c r="E59" s="152" t="s">
        <v>56</v>
      </c>
      <c r="F59" s="153" t="s">
        <v>40</v>
      </c>
      <c r="G59" s="89"/>
      <c r="H59" s="89"/>
      <c r="I59" s="90"/>
      <c r="J59" s="101"/>
      <c r="K59" s="154" t="s">
        <v>100</v>
      </c>
      <c r="L59" s="157" t="s">
        <v>94</v>
      </c>
      <c r="M59" s="111"/>
      <c r="N59" s="112"/>
      <c r="O59" s="59"/>
      <c r="P59" s="157" t="s">
        <v>58</v>
      </c>
      <c r="Q59" s="111"/>
      <c r="R59" s="111"/>
      <c r="S59" s="112"/>
      <c r="T59" s="107"/>
      <c r="U59" s="139" t="s">
        <v>44</v>
      </c>
    </row>
    <row r="60" spans="2:21" ht="21" customHeight="1" x14ac:dyDescent="0.35">
      <c r="B60" s="98"/>
      <c r="C60" s="102"/>
      <c r="D60" s="102"/>
      <c r="E60" s="102"/>
      <c r="F60" s="91"/>
      <c r="G60" s="92"/>
      <c r="H60" s="92"/>
      <c r="I60" s="93"/>
      <c r="J60" s="102"/>
      <c r="K60" s="155"/>
      <c r="L60" s="113"/>
      <c r="M60" s="114"/>
      <c r="N60" s="115"/>
      <c r="O60" s="56"/>
      <c r="P60" s="113"/>
      <c r="Q60" s="114"/>
      <c r="R60" s="114"/>
      <c r="S60" s="115"/>
      <c r="T60" s="108"/>
      <c r="U60" s="108"/>
    </row>
    <row r="61" spans="2:21" ht="21" customHeight="1" x14ac:dyDescent="0.35">
      <c r="B61" s="98"/>
      <c r="C61" s="102"/>
      <c r="D61" s="102"/>
      <c r="E61" s="102"/>
      <c r="F61" s="91"/>
      <c r="G61" s="92"/>
      <c r="H61" s="92"/>
      <c r="I61" s="93"/>
      <c r="J61" s="102"/>
      <c r="K61" s="155"/>
      <c r="L61" s="113"/>
      <c r="M61" s="114"/>
      <c r="N61" s="115"/>
      <c r="O61" s="56"/>
      <c r="P61" s="113"/>
      <c r="Q61" s="114"/>
      <c r="R61" s="114"/>
      <c r="S61" s="115"/>
      <c r="T61" s="108"/>
      <c r="U61" s="108"/>
    </row>
    <row r="62" spans="2:21" ht="21" customHeight="1" thickBot="1" x14ac:dyDescent="0.4">
      <c r="B62" s="138"/>
      <c r="C62" s="103"/>
      <c r="D62" s="103"/>
      <c r="E62" s="103"/>
      <c r="F62" s="94"/>
      <c r="G62" s="95"/>
      <c r="H62" s="95"/>
      <c r="I62" s="96"/>
      <c r="J62" s="103"/>
      <c r="K62" s="156"/>
      <c r="L62" s="116"/>
      <c r="M62" s="117"/>
      <c r="N62" s="118"/>
      <c r="O62" s="60"/>
      <c r="P62" s="116"/>
      <c r="Q62" s="117"/>
      <c r="R62" s="117"/>
      <c r="S62" s="118"/>
      <c r="T62" s="109"/>
      <c r="U62" s="109"/>
    </row>
  </sheetData>
  <sheetProtection selectLockedCells="1" selectUnlockedCells="1"/>
  <mergeCells count="46">
    <mergeCell ref="U59:U62"/>
    <mergeCell ref="L55:N58"/>
    <mergeCell ref="P55:S58"/>
    <mergeCell ref="T55:T58"/>
    <mergeCell ref="B59:B62"/>
    <mergeCell ref="C59:C62"/>
    <mergeCell ref="D59:D62"/>
    <mergeCell ref="E59:E62"/>
    <mergeCell ref="F59:I62"/>
    <mergeCell ref="J59:J62"/>
    <mergeCell ref="K59:K62"/>
    <mergeCell ref="L59:N62"/>
    <mergeCell ref="P59:S62"/>
    <mergeCell ref="T59:T62"/>
    <mergeCell ref="U55:U58"/>
    <mergeCell ref="U51:U54"/>
    <mergeCell ref="B55:B58"/>
    <mergeCell ref="C55:C58"/>
    <mergeCell ref="D55:D58"/>
    <mergeCell ref="E55:E58"/>
    <mergeCell ref="F55:I58"/>
    <mergeCell ref="J55:J58"/>
    <mergeCell ref="K55:K58"/>
    <mergeCell ref="J51:J54"/>
    <mergeCell ref="K51:K54"/>
    <mergeCell ref="B51:B54"/>
    <mergeCell ref="C51:C54"/>
    <mergeCell ref="D51:D54"/>
    <mergeCell ref="E51:E54"/>
    <mergeCell ref="T51:T54"/>
    <mergeCell ref="F47:I50"/>
    <mergeCell ref="F51:I54"/>
    <mergeCell ref="B47:B50"/>
    <mergeCell ref="D2:R3"/>
    <mergeCell ref="V5:W5"/>
    <mergeCell ref="C47:C50"/>
    <mergeCell ref="D47:D50"/>
    <mergeCell ref="E47:E50"/>
    <mergeCell ref="J47:J50"/>
    <mergeCell ref="K47:K50"/>
    <mergeCell ref="T47:T50"/>
    <mergeCell ref="U47:U50"/>
    <mergeCell ref="L47:N50"/>
    <mergeCell ref="P47:S50"/>
    <mergeCell ref="L51:N54"/>
    <mergeCell ref="P51:S54"/>
  </mergeCells>
  <conditionalFormatting sqref="J7:J33">
    <cfRule type="iconSet" priority="1">
      <iconSet iconSet="3Arrows">
        <cfvo type="percent" val="0"/>
        <cfvo type="percent" val="33"/>
        <cfvo type="percent" val="67"/>
      </iconSet>
    </cfRule>
  </conditionalFormatting>
  <dataValidations count="7">
    <dataValidation allowBlank="1" showInputMessage="1" showErrorMessage="1" prompt="Questa cella contiene il titolo del foglio di lavoro" sqref="B3" xr:uid="{02C0E27B-CD3D-4CAF-9E95-89858B8FCBF8}"/>
    <dataValidation allowBlank="1" showInputMessage="1" showErrorMessage="1" prompt="Immettere il nome della società in questa cella" sqref="B2" xr:uid="{CA229729-3B35-4F2E-AF28-D9704AF4946C}"/>
    <dataValidation allowBlank="1" showInputMessage="1" showErrorMessage="1" prompt="Immettere il nome della società nella cella B2._x000a__x000a_Cancellare la tabella seguente e immettere i dati di input di previsione. Per gestire le opzioni disponibili per gli elenchi a discesa, passare alla scheda Elenchi." sqref="A1" xr:uid="{61845846-064D-45AD-B8A6-47BA0E1CBBD6}"/>
    <dataValidation type="list" allowBlank="1" showInputMessage="1" showErrorMessage="1" sqref="U7:U46 J6:J46" xr:uid="{F27DC742-07CF-4314-9C35-A6E02F822C0E}">
      <formula1>List_SalesPhases</formula1>
    </dataValidation>
    <dataValidation type="list" allowBlank="1" showInputMessage="1" showErrorMessage="1" sqref="E7:G34 E35:H46" xr:uid="{72D9CF28-9551-4174-B1D5-ACD19CCB55F0}">
      <formula1>List_SalesCategories</formula1>
    </dataValidation>
    <dataValidation type="list" allowBlank="1" showInputMessage="1" showErrorMessage="1" sqref="D6:D46" xr:uid="{618A4C97-CBC5-4D63-B246-FD1439FB8182}">
      <formula1>List_SalesRegions</formula1>
    </dataValidation>
    <dataValidation type="list" allowBlank="1" showInputMessage="1" showErrorMessage="1" sqref="C6:C46" xr:uid="{660FF419-C136-483B-97BC-55C242BB416A}">
      <formula1>List_SalesAgents</formula1>
    </dataValidation>
  </dataValidations>
  <hyperlinks>
    <hyperlink ref="E59" r:id="rId1" xr:uid="{9A9FC3C7-EE85-4317-A102-1E49A67EA1C2}"/>
    <hyperlink ref="F59" r:id="rId2" xr:uid="{3EA53C47-9E68-4EA9-9CEF-AEECA9122822}"/>
    <hyperlink ref="L59" r:id="rId3" location="toc35" xr:uid="{3EDF4546-F3A7-4CC2-BFCB-264FE8F8D6DA}"/>
    <hyperlink ref="P59" r:id="rId4" location="toc5" xr:uid="{2AF735EF-C17E-49CB-81B7-D8A6D0D656AD}"/>
    <hyperlink ref="U59" r:id="rId5" xr:uid="{1AD7A994-E0B9-44B0-9A93-E0106B4883DD}"/>
  </hyperlinks>
  <pageMargins left="0.25" right="0.25" top="0.75" bottom="0.75" header="0.3" footer="0.3"/>
  <pageSetup paperSize="9" orientation="portrait" r:id="rId6"/>
  <drawing r:id="rId7"/>
  <tableParts count="1">
    <tablePart r:id="rId8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ED30B57F-B5FB-4B55-9A4D-A869509FA0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04559F3-C7B6-4BF2-BA22-BFF5A56758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55D47E-509C-4E55-AA4B-07E6AD1B99D1}">
  <ds:schemaRefs>
    <ds:schemaRef ds:uri="230e9df3-be65-4c73-a93b-d1236ebd677e"/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16c05727-aa75-4e4a-9b5f-8a80a1165891"/>
    <ds:schemaRef ds:uri="71af3243-3dd4-4a8d-8c0d-dd76da1f02a5"/>
    <ds:schemaRef ds:uri="http://www.w3.org/XML/1998/namespace"/>
    <ds:schemaRef ds:uri="http://purl.org/dc/terms/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TM11628816</Templat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Analisi Comparativa EU</vt:lpstr>
      <vt:lpstr>'Analisi Comparativa EU'!NomeSocietà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2023-10-08T04:29:18Z</dcterms:created>
  <dcterms:modified xsi:type="dcterms:W3CDTF">2025-06-09T08:42:19Z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